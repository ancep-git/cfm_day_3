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ummary" sheetId="2" state="visible" r:id="rId2"/>
    <sheet name="Contracts Y1" sheetId="3" state="visible" r:id="rId3"/>
    <sheet name="P&amp;L Y1" sheetId="4" state="visible" r:id="rId4"/>
    <sheet name="Contracts Y2" sheetId="5" state="visible" r:id="rId5"/>
    <sheet name="P&amp;L Y2" sheetId="6" state="visible" r:id="rId6"/>
    <sheet name="Contracts Y3" sheetId="7" state="visible" r:id="rId7"/>
    <sheet name="P&amp;L Y3" sheetId="8" state="visible" r:id="rId8"/>
  </sheets>
  <definedNames>
    <definedName name="RejRate">Inputs!$B$5</definedName>
    <definedName name="WageCoef">Inputs!$B$6</definedName>
    <definedName name="GoldPrice">Inputs!$B$7</definedName>
    <definedName name="PriceMin">Inputs!$B$8</definedName>
    <definedName name="PriceMax">Inputs!$B$9</definedName>
    <definedName name="TierQty">Inputs!$A$14:$A$18</definedName>
    <definedName name="TierSpecs">Inputs!$B$13:$D$13</definedName>
    <definedName name="TierPrices">Inputs!$B$14:$D$18</definedName>
    <definedName name="FixedTotal">Inputs!$B$28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;[Red]($#,##0);&quot;-&quot;"/>
    <numFmt numFmtId="166" formatCode="#,##0;[Red](#,##0);&quot;-&quot;"/>
    <numFmt numFmtId="167" formatCode="0.0%;[Red]-0.0%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2" fontId="5" fillId="2" borderId="0" pivotButton="0" quotePrefix="0" xfId="0"/>
    <xf numFmtId="165" fontId="5" fillId="2" borderId="0" pivotButton="0" quotePrefix="0" xfId="0"/>
    <xf numFmtId="0" fontId="6" fillId="3" borderId="0" applyAlignment="1" pivotButton="0" quotePrefix="0" xfId="0">
      <alignment horizontal="center" vertical="center" wrapText="1"/>
    </xf>
    <xf numFmtId="166" fontId="5" fillId="2" borderId="0" pivotButton="0" quotePrefix="0" xfId="0"/>
    <xf numFmtId="165" fontId="3" fillId="0" borderId="1" pivotButton="0" quotePrefix="0" xfId="0"/>
    <xf numFmtId="165" fontId="4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165" fontId="8" fillId="0" borderId="1" pivotButton="0" quotePrefix="0" xfId="0"/>
    <xf numFmtId="167" fontId="4" fillId="0" borderId="0" pivotButton="0" quotePrefix="0" xfId="0"/>
    <xf numFmtId="165" fontId="3" fillId="4" borderId="0" pivotButton="0" quotePrefix="0" xfId="0"/>
    <xf numFmtId="167" fontId="7" fillId="0" borderId="0" pivotButton="0" quotePrefix="0" xfId="0"/>
    <xf numFmtId="0" fontId="5" fillId="2" borderId="2" pivotButton="0" quotePrefix="0" xfId="0"/>
    <xf numFmtId="166" fontId="5" fillId="2" borderId="2" pivotButton="0" quotePrefix="0" xfId="0"/>
    <xf numFmtId="165" fontId="5" fillId="2" borderId="2" pivotButton="0" quotePrefix="0" xfId="0"/>
    <xf numFmtId="166" fontId="4" fillId="0" borderId="2" pivotButton="0" quotePrefix="0" xfId="0"/>
    <xf numFmtId="165" fontId="4" fillId="0" borderId="2" pivotButton="0" quotePrefix="0" xfId="0"/>
    <xf numFmtId="167" fontId="4" fillId="0" borderId="2" pivotButton="0" quotePrefix="0" xfId="0"/>
    <xf numFmtId="166" fontId="5" fillId="5" borderId="2" pivotButton="0" quotePrefix="0" xfId="0"/>
    <xf numFmtId="0" fontId="3" fillId="4" borderId="0" pivotButton="0" quotePrefix="0" xfId="0"/>
    <xf numFmtId="0" fontId="3" fillId="4" borderId="1" pivotButton="0" quotePrefix="0" xfId="0"/>
    <xf numFmtId="166" fontId="3" fillId="4" borderId="1" pivotButton="0" quotePrefix="0" xfId="0"/>
    <xf numFmtId="165" fontId="3" fillId="4" borderId="1" pivotButton="0" quotePrefix="0" xfId="0"/>
    <xf numFmtId="167" fontId="3" fillId="4" borderId="1" pivotButton="0" quotePrefix="0" xfId="0"/>
    <xf numFmtId="0" fontId="6" fillId="3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Budget model</author>
  </authors>
  <commentList>
    <comment ref="C7" authorId="0" shapeId="0">
      <text>
        <t>Confirm quantity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Ball Bearing Contract Auction: inputs</t>
        </is>
      </c>
    </row>
    <row r="2">
      <c r="A2" s="2" t="inlineStr">
        <is>
          <t>Blue text on a light-blue fill = input you can change. Yellow fill = value to confirm. Black = formula. All values from the case brief.</t>
        </is>
      </c>
    </row>
    <row r="4">
      <c r="A4" s="3" t="inlineStr">
        <is>
          <t>Production rules</t>
        </is>
      </c>
    </row>
    <row r="5">
      <c r="A5" s="4" t="inlineStr">
        <is>
          <t>Rejection rate (share of BBs produced that fail inspection)</t>
        </is>
      </c>
      <c r="B5" s="5" t="n">
        <v>0.15</v>
      </c>
      <c r="C5" s="2" t="inlineStr">
        <is>
          <t>Production = ROUNDUP(accepted / (1 - rate), 0). Customer pays for accepted BBs only.</t>
        </is>
      </c>
    </row>
    <row r="6">
      <c r="A6" s="4" t="inlineStr">
        <is>
          <t>Wage coefficient (wages = raw materials used x coefficient)</t>
        </is>
      </c>
      <c r="B6" s="6" t="n">
        <v>1.8</v>
      </c>
    </row>
    <row r="7">
      <c r="A7" s="4" t="inlineStr">
        <is>
          <t>Gold price per BB (flat, announced after the auction)</t>
        </is>
      </c>
      <c r="B7" s="7" t="n">
        <v>5500</v>
      </c>
      <c r="C7" s="2" t="inlineStr">
        <is>
          <t>Pick 4,500 / 5,000 / 5,500 from the dropdown. Default 5,500 until announced.</t>
        </is>
      </c>
    </row>
    <row r="8">
      <c r="A8" s="4" t="inlineStr">
        <is>
          <t>Contract price range: minimum per BB</t>
        </is>
      </c>
      <c r="B8" s="7" t="n">
        <v>16000</v>
      </c>
      <c r="C8" s="2" t="inlineStr">
        <is>
          <t>Prices outside this range are flagged orange on the Contracts sheets.</t>
        </is>
      </c>
    </row>
    <row r="9">
      <c r="A9" s="4" t="inlineStr">
        <is>
          <t>Contract price range: maximum per BB</t>
        </is>
      </c>
      <c r="B9" s="7" t="n">
        <v>26000</v>
      </c>
    </row>
    <row r="11">
      <c r="A11" s="3" t="inlineStr">
        <is>
          <t>Raw-material price per BB (all-units tiers)</t>
        </is>
      </c>
    </row>
    <row r="12">
      <c r="A12" s="2" t="inlineStr">
        <is>
          <t>The tier reached by one contract's purchase-order quantity (= its production quantity) sets the price for every BB in that order.</t>
        </is>
      </c>
    </row>
    <row r="13" ht="42" customHeight="1">
      <c r="A13" s="8" t="inlineStr">
        <is>
          <t>Qty ordered (lower bound)</t>
        </is>
      </c>
      <c r="B13" s="8" t="inlineStr">
        <is>
          <t>Blue</t>
        </is>
      </c>
      <c r="C13" s="8" t="inlineStr">
        <is>
          <t>Silver</t>
        </is>
      </c>
      <c r="D13" s="8" t="inlineStr">
        <is>
          <t>Copper</t>
        </is>
      </c>
    </row>
    <row r="14">
      <c r="A14" s="9" t="n">
        <v>1</v>
      </c>
      <c r="B14" s="7" t="n">
        <v>7000</v>
      </c>
      <c r="C14" s="7" t="n">
        <v>6500</v>
      </c>
      <c r="D14" s="7" t="n">
        <v>5500</v>
      </c>
    </row>
    <row r="15">
      <c r="A15" s="9" t="n">
        <v>11</v>
      </c>
      <c r="B15" s="7" t="n">
        <v>6500</v>
      </c>
      <c r="C15" s="7" t="n">
        <v>6000</v>
      </c>
      <c r="D15" s="7" t="n">
        <v>5000</v>
      </c>
    </row>
    <row r="16">
      <c r="A16" s="9" t="n">
        <v>21</v>
      </c>
      <c r="B16" s="7" t="n">
        <v>5500</v>
      </c>
      <c r="C16" s="7" t="n">
        <v>5500</v>
      </c>
      <c r="D16" s="7" t="n">
        <v>4000</v>
      </c>
    </row>
    <row r="17">
      <c r="A17" s="9" t="n">
        <v>31</v>
      </c>
      <c r="B17" s="7" t="n">
        <v>5000</v>
      </c>
      <c r="C17" s="7" t="n">
        <v>4500</v>
      </c>
      <c r="D17" s="7" t="n">
        <v>3000</v>
      </c>
    </row>
    <row r="18">
      <c r="A18" s="9" t="n">
        <v>41</v>
      </c>
      <c r="B18" s="7" t="n">
        <v>4000</v>
      </c>
      <c r="C18" s="7" t="n">
        <v>3500</v>
      </c>
      <c r="D18" s="7" t="n">
        <v>2000</v>
      </c>
    </row>
    <row r="19">
      <c r="A19" s="2" t="inlineStr">
        <is>
          <t>Gold does not use this table; it uses the Gold price in B7.</t>
        </is>
      </c>
    </row>
    <row r="21">
      <c r="A21" s="3" t="inlineStr">
        <is>
          <t>Fixed operating expenses per year</t>
        </is>
      </c>
    </row>
    <row r="22">
      <c r="A22" s="4" t="inlineStr">
        <is>
          <t>Factory rent</t>
        </is>
      </c>
      <c r="B22" s="7" t="n">
        <v>50000</v>
      </c>
    </row>
    <row r="23">
      <c r="A23" s="4" t="inlineStr">
        <is>
          <t>Management &amp; administration</t>
        </is>
      </c>
      <c r="B23" s="7" t="n">
        <v>40000</v>
      </c>
    </row>
    <row r="24">
      <c r="A24" s="4" t="inlineStr">
        <is>
          <t>Machine maintenance</t>
        </is>
      </c>
      <c r="B24" s="7" t="n">
        <v>35000</v>
      </c>
    </row>
    <row r="25">
      <c r="A25" s="4" t="inlineStr">
        <is>
          <t>Utilities &amp; insurance</t>
        </is>
      </c>
      <c r="B25" s="7" t="n">
        <v>20000</v>
      </c>
    </row>
    <row r="26">
      <c r="A26" s="4" t="inlineStr">
        <is>
          <t>Office &amp; marketing</t>
        </is>
      </c>
      <c r="B26" s="7" t="n">
        <v>15000</v>
      </c>
    </row>
    <row r="27">
      <c r="A27" s="4" t="inlineStr">
        <is>
          <t>Depreciation</t>
        </is>
      </c>
      <c r="B27" s="7" t="n">
        <v>40000</v>
      </c>
    </row>
    <row r="28">
      <c r="A28" s="3" t="inlineStr">
        <is>
          <t>Total fixed operating expenses</t>
        </is>
      </c>
      <c r="B28" s="10">
        <f>SUM(B22:B27)</f>
        <v/>
      </c>
    </row>
    <row r="30">
      <c r="A30" s="3" t="inlineStr">
        <is>
          <t>Market size</t>
        </is>
      </c>
    </row>
    <row r="31">
      <c r="A31" s="4" t="inlineStr">
        <is>
          <t>Year 1 market size</t>
        </is>
      </c>
      <c r="B31" s="7" t="n">
        <v>5300000</v>
      </c>
    </row>
    <row r="32">
      <c r="A32" s="4" t="inlineStr">
        <is>
          <t>Year 2 growth over Year 1</t>
        </is>
      </c>
      <c r="B32" s="5" t="n">
        <v>0.2</v>
      </c>
    </row>
    <row r="33">
      <c r="A33" s="4" t="inlineStr">
        <is>
          <t>Year 3 growth over Year 2</t>
        </is>
      </c>
      <c r="B33" s="5" t="n">
        <v>0.1</v>
      </c>
    </row>
    <row r="34">
      <c r="A34" s="4" t="inlineStr">
        <is>
          <t>Year 2 market size</t>
        </is>
      </c>
      <c r="B34" s="11">
        <f>B31*(1+B32)</f>
        <v/>
      </c>
    </row>
    <row r="35">
      <c r="A35" s="4" t="inlineStr">
        <is>
          <t>Year 3 market size</t>
        </is>
      </c>
      <c r="B35" s="11">
        <f>B34*(1+B33)</f>
        <v/>
      </c>
    </row>
  </sheetData>
  <dataValidations count="1">
    <dataValidation sqref="B7" showDropDown="0" showInputMessage="0" showErrorMessage="1" allowBlank="0" errorTitle="Gold price" error="Choose 4,500, 5,000 or 5,500." type="list">
      <formula1>"4500,5000,5500"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D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Three-year summary</t>
        </is>
      </c>
    </row>
    <row r="2">
      <c r="A2" s="2" t="inlineStr">
        <is>
          <t>Links to the Year total column of each P&amp;L sheet. Years 2 and 3 fill in as contracts are typed into Contracts Y2 / Y3.</t>
        </is>
      </c>
    </row>
    <row r="4" ht="42" customHeight="1">
      <c r="A4" s="8" t="inlineStr">
        <is>
          <t>($)</t>
        </is>
      </c>
      <c r="B4" s="8" t="inlineStr">
        <is>
          <t>Year 1</t>
        </is>
      </c>
      <c r="C4" s="8" t="inlineStr">
        <is>
          <t>Year 2</t>
        </is>
      </c>
      <c r="D4" s="8" t="inlineStr">
        <is>
          <t>Year 3</t>
        </is>
      </c>
    </row>
    <row r="5">
      <c r="A5" s="4" t="inlineStr">
        <is>
          <t>Revenue</t>
        </is>
      </c>
      <c r="B5" s="12">
        <f>'P&amp;L Y1'!$B$6</f>
        <v/>
      </c>
      <c r="C5" s="12">
        <f>'P&amp;L Y2'!$B$6</f>
        <v/>
      </c>
      <c r="D5" s="12">
        <f>'P&amp;L Y3'!$B$6</f>
        <v/>
      </c>
    </row>
    <row r="6">
      <c r="A6" s="3" t="inlineStr">
        <is>
          <t>Contribution margin</t>
        </is>
      </c>
      <c r="B6" s="13">
        <f>'P&amp;L Y1'!$B$10</f>
        <v/>
      </c>
      <c r="C6" s="13">
        <f>'P&amp;L Y2'!$B$10</f>
        <v/>
      </c>
      <c r="D6" s="13">
        <f>'P&amp;L Y3'!$B$10</f>
        <v/>
      </c>
    </row>
    <row r="7">
      <c r="A7" s="4" t="inlineStr">
        <is>
          <t>Fixed operating expenses</t>
        </is>
      </c>
      <c r="B7" s="12">
        <f>'P&amp;L Y1'!$B$11</f>
        <v/>
      </c>
      <c r="C7" s="12">
        <f>'P&amp;L Y2'!$B$11</f>
        <v/>
      </c>
      <c r="D7" s="12">
        <f>'P&amp;L Y3'!$B$11</f>
        <v/>
      </c>
    </row>
    <row r="8">
      <c r="A8" s="3" t="inlineStr">
        <is>
          <t>Operating profit</t>
        </is>
      </c>
      <c r="B8" s="14">
        <f>'P&amp;L Y1'!$B$12</f>
        <v/>
      </c>
      <c r="C8" s="14">
        <f>'P&amp;L Y2'!$B$12</f>
        <v/>
      </c>
      <c r="D8" s="14">
        <f>'P&amp;L Y3'!$B$12</f>
        <v/>
      </c>
    </row>
    <row r="9">
      <c r="A9" s="4" t="inlineStr">
        <is>
          <t>CM %</t>
        </is>
      </c>
      <c r="B9" s="15">
        <f>IF(B5=0,"",B6/B5)</f>
        <v/>
      </c>
      <c r="C9" s="15">
        <f>IF(C5=0,"",C6/C5)</f>
        <v/>
      </c>
      <c r="D9" s="15">
        <f>IF(D5=0,"",D6/D5)</f>
        <v/>
      </c>
    </row>
    <row r="10">
      <c r="A10" s="4" t="inlineStr">
        <is>
          <t>Operating margin %</t>
        </is>
      </c>
      <c r="B10" s="15">
        <f>IF(B5=0,"",B8/B5)</f>
        <v/>
      </c>
      <c r="C10" s="15">
        <f>IF(C5=0,"",C8/C5)</f>
        <v/>
      </c>
      <c r="D10" s="15">
        <f>IF(D5=0,"",D8/D5)</f>
        <v/>
      </c>
    </row>
    <row r="11">
      <c r="A11" s="3" t="inlineStr">
        <is>
          <t>Cumulative operating profit</t>
        </is>
      </c>
      <c r="B11" s="16">
        <f>SUM($B8:B8)</f>
        <v/>
      </c>
      <c r="C11" s="16">
        <f>SUM($B8:C8)</f>
        <v/>
      </c>
      <c r="D11" s="16">
        <f>SUM($B8:D8)</f>
        <v/>
      </c>
    </row>
    <row r="12">
      <c r="A12" s="4" t="inlineStr">
        <is>
          <t>Market size</t>
        </is>
      </c>
      <c r="B12" s="12">
        <f>Inputs!$B$31</f>
        <v/>
      </c>
      <c r="C12" s="12">
        <f>Inputs!$B$34</f>
        <v/>
      </c>
      <c r="D12" s="12">
        <f>Inputs!$B$35</f>
        <v/>
      </c>
    </row>
    <row r="13">
      <c r="A13" s="4" t="inlineStr">
        <is>
          <t>Share of market</t>
        </is>
      </c>
      <c r="B13" s="17">
        <f>'P&amp;L Y1'!$B$15</f>
        <v/>
      </c>
      <c r="C13" s="17">
        <f>'P&amp;L Y2'!$B$15</f>
        <v/>
      </c>
      <c r="D13" s="17">
        <f>'P&amp;L Y3'!$B$15</f>
        <v/>
      </c>
    </row>
    <row r="15">
      <c r="A15" s="2" t="inlineStr">
        <is>
          <t>Fixed operating expenses are charged every year, so a year with no contracts entered still shows an operating loss equal to fixed expenses.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O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2" customWidth="1" min="5" max="5"/>
    <col width="11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4" customWidth="1" min="12" max="12"/>
    <col width="9" customWidth="1" min="13" max="13"/>
    <col width="15" customWidth="1" min="14" max="14"/>
    <col width="13" customWidth="1" min="15" max="15"/>
  </cols>
  <sheetData>
    <row r="1">
      <c r="A1" s="1" t="inlineStr">
        <is>
          <t>Year 1 contracts won</t>
        </is>
      </c>
    </row>
    <row r="2">
      <c r="A2" s="2" t="inlineStr">
        <is>
          <t>Type Contract ID, Spec, Accepted qty and Price (blue cells) in any empty row; every other column calculates. Each contract is its own purchase order.</t>
        </is>
      </c>
    </row>
    <row r="3">
      <c r="A3" s="2" t="inlineStr">
        <is>
          <t>Orange price = outside the case price range (Inputs B8:B9). Other direct defaults to 0.</t>
        </is>
      </c>
    </row>
    <row r="4" ht="42" customHeight="1">
      <c r="A4" s="8" t="inlineStr">
        <is>
          <t>Contract ID</t>
        </is>
      </c>
      <c r="B4" s="8" t="inlineStr">
        <is>
          <t>Spec</t>
        </is>
      </c>
      <c r="C4" s="8" t="inlineStr">
        <is>
          <t>Accepted qty (BB)</t>
        </is>
      </c>
      <c r="D4" s="8" t="inlineStr">
        <is>
          <t>Price per BB ($)</t>
        </is>
      </c>
      <c r="E4" s="8" t="inlineStr">
        <is>
          <t>Production qty (BB)</t>
        </is>
      </c>
      <c r="F4" s="8" t="inlineStr">
        <is>
          <t>Rejected qty (BB)</t>
        </is>
      </c>
      <c r="G4" s="8" t="inlineStr">
        <is>
          <t>RM price per BB ($)</t>
        </is>
      </c>
      <c r="H4" s="8" t="inlineStr">
        <is>
          <t>Revenue ($)</t>
        </is>
      </c>
      <c r="I4" s="8" t="inlineStr">
        <is>
          <t>Raw materials ($)</t>
        </is>
      </c>
      <c r="J4" s="8" t="inlineStr">
        <is>
          <t>Wages ($)</t>
        </is>
      </c>
      <c r="K4" s="8" t="inlineStr">
        <is>
          <t>Other direct ($)</t>
        </is>
      </c>
      <c r="L4" s="8" t="inlineStr">
        <is>
          <t>Contribution margin ($)</t>
        </is>
      </c>
      <c r="M4" s="8" t="inlineStr">
        <is>
          <t>CM %</t>
        </is>
      </c>
      <c r="N4" s="8" t="inlineStr">
        <is>
          <t>Break-even price per accepted BB ($)</t>
        </is>
      </c>
      <c r="O4" s="8" t="inlineStr">
        <is>
          <t>Price vs break-even ($)</t>
        </is>
      </c>
    </row>
    <row r="5">
      <c r="A5" s="18" t="inlineStr">
        <is>
          <t>C05</t>
        </is>
      </c>
      <c r="B5" s="18" t="inlineStr">
        <is>
          <t>Silver</t>
        </is>
      </c>
      <c r="C5" s="19" t="n">
        <v>15</v>
      </c>
      <c r="D5" s="20" t="n">
        <v>18000</v>
      </c>
      <c r="E5" s="21">
        <f>IF($A5="","",ROUNDUP(C5/(1-RejRate),0))</f>
        <v/>
      </c>
      <c r="F5" s="21">
        <f>IF($A5="","",E5-C5)</f>
        <v/>
      </c>
      <c r="G5" s="22">
        <f>IF($A5="","",IF(B5="Gold",GoldPrice,INDEX(TierPrices,MATCH(E5,TierQty,1),MATCH(B5,TierSpecs,0))))</f>
        <v/>
      </c>
      <c r="H5" s="22">
        <f>IF($A5="","",C5*D5)</f>
        <v/>
      </c>
      <c r="I5" s="22">
        <f>IF($A5="","",E5*G5)</f>
        <v/>
      </c>
      <c r="J5" s="22">
        <f>IF($A5="","",I5*WageCoef)</f>
        <v/>
      </c>
      <c r="K5" s="20" t="n">
        <v>0</v>
      </c>
      <c r="L5" s="22">
        <f>IF($A5="","",H5-I5-J5-N(K5))</f>
        <v/>
      </c>
      <c r="M5" s="23">
        <f>IF(OR($A5="",N(H5)=0),"",L5/H5)</f>
        <v/>
      </c>
      <c r="N5" s="22">
        <f>IF(OR($A5="",N(C5)=0),"",(E5*G5*(1+WageCoef)+N(K5))/C5)</f>
        <v/>
      </c>
      <c r="O5" s="22">
        <f>IF(OR($A5="",N5=""),"",D5-N5)</f>
        <v/>
      </c>
    </row>
    <row r="6">
      <c r="A6" s="18" t="inlineStr">
        <is>
          <t>C08</t>
        </is>
      </c>
      <c r="B6" s="18" t="inlineStr">
        <is>
          <t>Silver</t>
        </is>
      </c>
      <c r="C6" s="19" t="n">
        <v>40</v>
      </c>
      <c r="D6" s="20" t="n">
        <v>11000</v>
      </c>
      <c r="E6" s="21">
        <f>IF($A6="","",ROUNDUP(C6/(1-RejRate),0))</f>
        <v/>
      </c>
      <c r="F6" s="21">
        <f>IF($A6="","",E6-C6)</f>
        <v/>
      </c>
      <c r="G6" s="22">
        <f>IF($A6="","",IF(B6="Gold",GoldPrice,INDEX(TierPrices,MATCH(E6,TierQty,1),MATCH(B6,TierSpecs,0))))</f>
        <v/>
      </c>
      <c r="H6" s="22">
        <f>IF($A6="","",C6*D6)</f>
        <v/>
      </c>
      <c r="I6" s="22">
        <f>IF($A6="","",E6*G6)</f>
        <v/>
      </c>
      <c r="J6" s="22">
        <f>IF($A6="","",I6*WageCoef)</f>
        <v/>
      </c>
      <c r="K6" s="20" t="n">
        <v>0</v>
      </c>
      <c r="L6" s="22">
        <f>IF($A6="","",H6-I6-J6-N(K6))</f>
        <v/>
      </c>
      <c r="M6" s="23">
        <f>IF(OR($A6="",N(H6)=0),"",L6/H6)</f>
        <v/>
      </c>
      <c r="N6" s="22">
        <f>IF(OR($A6="",N(C6)=0),"",(E6*G6*(1+WageCoef)+N(K6))/C6)</f>
        <v/>
      </c>
      <c r="O6" s="22">
        <f>IF(OR($A6="",N6=""),"",D6-N6)</f>
        <v/>
      </c>
    </row>
    <row r="7">
      <c r="A7" s="18" t="inlineStr">
        <is>
          <t>C09</t>
        </is>
      </c>
      <c r="B7" s="18" t="inlineStr">
        <is>
          <t>Copper</t>
        </is>
      </c>
      <c r="C7" s="24" t="n">
        <v>40</v>
      </c>
      <c r="D7" s="20" t="n">
        <v>6500</v>
      </c>
      <c r="E7" s="21">
        <f>IF($A7="","",ROUNDUP(C7/(1-RejRate),0))</f>
        <v/>
      </c>
      <c r="F7" s="21">
        <f>IF($A7="","",E7-C7)</f>
        <v/>
      </c>
      <c r="G7" s="22">
        <f>IF($A7="","",IF(B7="Gold",GoldPrice,INDEX(TierPrices,MATCH(E7,TierQty,1),MATCH(B7,TierSpecs,0))))</f>
        <v/>
      </c>
      <c r="H7" s="22">
        <f>IF($A7="","",C7*D7)</f>
        <v/>
      </c>
      <c r="I7" s="22">
        <f>IF($A7="","",E7*G7)</f>
        <v/>
      </c>
      <c r="J7" s="22">
        <f>IF($A7="","",I7*WageCoef)</f>
        <v/>
      </c>
      <c r="K7" s="20" t="n">
        <v>0</v>
      </c>
      <c r="L7" s="22">
        <f>IF($A7="","",H7-I7-J7-N(K7))</f>
        <v/>
      </c>
      <c r="M7" s="23">
        <f>IF(OR($A7="",N(H7)=0),"",L7/H7)</f>
        <v/>
      </c>
      <c r="N7" s="22">
        <f>IF(OR($A7="",N(C7)=0),"",(E7*G7*(1+WageCoef)+N(K7))/C7)</f>
        <v/>
      </c>
      <c r="O7" s="22">
        <f>IF(OR($A7="",N7=""),"",D7-N7)</f>
        <v/>
      </c>
    </row>
    <row r="8">
      <c r="A8" s="18" t="n"/>
      <c r="B8" s="18" t="n"/>
      <c r="C8" s="19" t="n"/>
      <c r="D8" s="20" t="n"/>
      <c r="E8" s="21">
        <f>IF($A8="","",ROUNDUP(C8/(1-RejRate),0))</f>
        <v/>
      </c>
      <c r="F8" s="21">
        <f>IF($A8="","",E8-C8)</f>
        <v/>
      </c>
      <c r="G8" s="22">
        <f>IF($A8="","",IF(B8="Gold",GoldPrice,INDEX(TierPrices,MATCH(E8,TierQty,1),MATCH(B8,TierSpecs,0))))</f>
        <v/>
      </c>
      <c r="H8" s="22">
        <f>IF($A8="","",C8*D8)</f>
        <v/>
      </c>
      <c r="I8" s="22">
        <f>IF($A8="","",E8*G8)</f>
        <v/>
      </c>
      <c r="J8" s="22">
        <f>IF($A8="","",I8*WageCoef)</f>
        <v/>
      </c>
      <c r="K8" s="20" t="n"/>
      <c r="L8" s="22">
        <f>IF($A8="","",H8-I8-J8-N(K8))</f>
        <v/>
      </c>
      <c r="M8" s="23">
        <f>IF(OR($A8="",N(H8)=0),"",L8/H8)</f>
        <v/>
      </c>
      <c r="N8" s="22">
        <f>IF(OR($A8="",N(C8)=0),"",(E8*G8*(1+WageCoef)+N(K8))/C8)</f>
        <v/>
      </c>
      <c r="O8" s="22">
        <f>IF(OR($A8="",N8=""),"",D8-N8)</f>
        <v/>
      </c>
    </row>
    <row r="9">
      <c r="A9" s="18" t="n"/>
      <c r="B9" s="18" t="n"/>
      <c r="C9" s="19" t="n"/>
      <c r="D9" s="20" t="n"/>
      <c r="E9" s="21">
        <f>IF($A9="","",ROUNDUP(C9/(1-RejRate),0))</f>
        <v/>
      </c>
      <c r="F9" s="21">
        <f>IF($A9="","",E9-C9)</f>
        <v/>
      </c>
      <c r="G9" s="22">
        <f>IF($A9="","",IF(B9="Gold",GoldPrice,INDEX(TierPrices,MATCH(E9,TierQty,1),MATCH(B9,TierSpecs,0))))</f>
        <v/>
      </c>
      <c r="H9" s="22">
        <f>IF($A9="","",C9*D9)</f>
        <v/>
      </c>
      <c r="I9" s="22">
        <f>IF($A9="","",E9*G9)</f>
        <v/>
      </c>
      <c r="J9" s="22">
        <f>IF($A9="","",I9*WageCoef)</f>
        <v/>
      </c>
      <c r="K9" s="20" t="n"/>
      <c r="L9" s="22">
        <f>IF($A9="","",H9-I9-J9-N(K9))</f>
        <v/>
      </c>
      <c r="M9" s="23">
        <f>IF(OR($A9="",N(H9)=0),"",L9/H9)</f>
        <v/>
      </c>
      <c r="N9" s="22">
        <f>IF(OR($A9="",N(C9)=0),"",(E9*G9*(1+WageCoef)+N(K9))/C9)</f>
        <v/>
      </c>
      <c r="O9" s="22">
        <f>IF(OR($A9="",N9=""),"",D9-N9)</f>
        <v/>
      </c>
    </row>
    <row r="10">
      <c r="A10" s="18" t="n"/>
      <c r="B10" s="18" t="n"/>
      <c r="C10" s="19" t="n"/>
      <c r="D10" s="20" t="n"/>
      <c r="E10" s="21">
        <f>IF($A10="","",ROUNDUP(C10/(1-RejRate),0))</f>
        <v/>
      </c>
      <c r="F10" s="21">
        <f>IF($A10="","",E10-C10)</f>
        <v/>
      </c>
      <c r="G10" s="22">
        <f>IF($A10="","",IF(B10="Gold",GoldPrice,INDEX(TierPrices,MATCH(E10,TierQty,1),MATCH(B10,TierSpecs,0))))</f>
        <v/>
      </c>
      <c r="H10" s="22">
        <f>IF($A10="","",C10*D10)</f>
        <v/>
      </c>
      <c r="I10" s="22">
        <f>IF($A10="","",E10*G10)</f>
        <v/>
      </c>
      <c r="J10" s="22">
        <f>IF($A10="","",I10*WageCoef)</f>
        <v/>
      </c>
      <c r="K10" s="20" t="n"/>
      <c r="L10" s="22">
        <f>IF($A10="","",H10-I10-J10-N(K10))</f>
        <v/>
      </c>
      <c r="M10" s="23">
        <f>IF(OR($A10="",N(H10)=0),"",L10/H10)</f>
        <v/>
      </c>
      <c r="N10" s="22">
        <f>IF(OR($A10="",N(C10)=0),"",(E10*G10*(1+WageCoef)+N(K10))/C10)</f>
        <v/>
      </c>
      <c r="O10" s="22">
        <f>IF(OR($A10="",N10=""),"",D10-N10)</f>
        <v/>
      </c>
    </row>
    <row r="11">
      <c r="A11" s="18" t="n"/>
      <c r="B11" s="18" t="n"/>
      <c r="C11" s="19" t="n"/>
      <c r="D11" s="20" t="n"/>
      <c r="E11" s="21">
        <f>IF($A11="","",ROUNDUP(C11/(1-RejRate),0))</f>
        <v/>
      </c>
      <c r="F11" s="21">
        <f>IF($A11="","",E11-C11)</f>
        <v/>
      </c>
      <c r="G11" s="22">
        <f>IF($A11="","",IF(B11="Gold",GoldPrice,INDEX(TierPrices,MATCH(E11,TierQty,1),MATCH(B11,TierSpecs,0))))</f>
        <v/>
      </c>
      <c r="H11" s="22">
        <f>IF($A11="","",C11*D11)</f>
        <v/>
      </c>
      <c r="I11" s="22">
        <f>IF($A11="","",E11*G11)</f>
        <v/>
      </c>
      <c r="J11" s="22">
        <f>IF($A11="","",I11*WageCoef)</f>
        <v/>
      </c>
      <c r="K11" s="20" t="n"/>
      <c r="L11" s="22">
        <f>IF($A11="","",H11-I11-J11-N(K11))</f>
        <v/>
      </c>
      <c r="M11" s="23">
        <f>IF(OR($A11="",N(H11)=0),"",L11/H11)</f>
        <v/>
      </c>
      <c r="N11" s="22">
        <f>IF(OR($A11="",N(C11)=0),"",(E11*G11*(1+WageCoef)+N(K11))/C11)</f>
        <v/>
      </c>
      <c r="O11" s="22">
        <f>IF(OR($A11="",N11=""),"",D11-N11)</f>
        <v/>
      </c>
    </row>
    <row r="12">
      <c r="A12" s="18" t="n"/>
      <c r="B12" s="18" t="n"/>
      <c r="C12" s="19" t="n"/>
      <c r="D12" s="20" t="n"/>
      <c r="E12" s="21">
        <f>IF($A12="","",ROUNDUP(C12/(1-RejRate),0))</f>
        <v/>
      </c>
      <c r="F12" s="21">
        <f>IF($A12="","",E12-C12)</f>
        <v/>
      </c>
      <c r="G12" s="22">
        <f>IF($A12="","",IF(B12="Gold",GoldPrice,INDEX(TierPrices,MATCH(E12,TierQty,1),MATCH(B12,TierSpecs,0))))</f>
        <v/>
      </c>
      <c r="H12" s="22">
        <f>IF($A12="","",C12*D12)</f>
        <v/>
      </c>
      <c r="I12" s="22">
        <f>IF($A12="","",E12*G12)</f>
        <v/>
      </c>
      <c r="J12" s="22">
        <f>IF($A12="","",I12*WageCoef)</f>
        <v/>
      </c>
      <c r="K12" s="20" t="n"/>
      <c r="L12" s="22">
        <f>IF($A12="","",H12-I12-J12-N(K12))</f>
        <v/>
      </c>
      <c r="M12" s="23">
        <f>IF(OR($A12="",N(H12)=0),"",L12/H12)</f>
        <v/>
      </c>
      <c r="N12" s="22">
        <f>IF(OR($A12="",N(C12)=0),"",(E12*G12*(1+WageCoef)+N(K12))/C12)</f>
        <v/>
      </c>
      <c r="O12" s="22">
        <f>IF(OR($A12="",N12=""),"",D12-N12)</f>
        <v/>
      </c>
    </row>
    <row r="13">
      <c r="A13" s="18" t="n"/>
      <c r="B13" s="18" t="n"/>
      <c r="C13" s="19" t="n"/>
      <c r="D13" s="20" t="n"/>
      <c r="E13" s="21">
        <f>IF($A13="","",ROUNDUP(C13/(1-RejRate),0))</f>
        <v/>
      </c>
      <c r="F13" s="21">
        <f>IF($A13="","",E13-C13)</f>
        <v/>
      </c>
      <c r="G13" s="22">
        <f>IF($A13="","",IF(B13="Gold",GoldPrice,INDEX(TierPrices,MATCH(E13,TierQty,1),MATCH(B13,TierSpecs,0))))</f>
        <v/>
      </c>
      <c r="H13" s="22">
        <f>IF($A13="","",C13*D13)</f>
        <v/>
      </c>
      <c r="I13" s="22">
        <f>IF($A13="","",E13*G13)</f>
        <v/>
      </c>
      <c r="J13" s="22">
        <f>IF($A13="","",I13*WageCoef)</f>
        <v/>
      </c>
      <c r="K13" s="20" t="n"/>
      <c r="L13" s="22">
        <f>IF($A13="","",H13-I13-J13-N(K13))</f>
        <v/>
      </c>
      <c r="M13" s="23">
        <f>IF(OR($A13="",N(H13)=0),"",L13/H13)</f>
        <v/>
      </c>
      <c r="N13" s="22">
        <f>IF(OR($A13="",N(C13)=0),"",(E13*G13*(1+WageCoef)+N(K13))/C13)</f>
        <v/>
      </c>
      <c r="O13" s="22">
        <f>IF(OR($A13="",N13=""),"",D13-N13)</f>
        <v/>
      </c>
    </row>
    <row r="14">
      <c r="A14" s="18" t="n"/>
      <c r="B14" s="18" t="n"/>
      <c r="C14" s="19" t="n"/>
      <c r="D14" s="20" t="n"/>
      <c r="E14" s="21">
        <f>IF($A14="","",ROUNDUP(C14/(1-RejRate),0))</f>
        <v/>
      </c>
      <c r="F14" s="21">
        <f>IF($A14="","",E14-C14)</f>
        <v/>
      </c>
      <c r="G14" s="22">
        <f>IF($A14="","",IF(B14="Gold",GoldPrice,INDEX(TierPrices,MATCH(E14,TierQty,1),MATCH(B14,TierSpecs,0))))</f>
        <v/>
      </c>
      <c r="H14" s="22">
        <f>IF($A14="","",C14*D14)</f>
        <v/>
      </c>
      <c r="I14" s="22">
        <f>IF($A14="","",E14*G14)</f>
        <v/>
      </c>
      <c r="J14" s="22">
        <f>IF($A14="","",I14*WageCoef)</f>
        <v/>
      </c>
      <c r="K14" s="20" t="n"/>
      <c r="L14" s="22">
        <f>IF($A14="","",H14-I14-J14-N(K14))</f>
        <v/>
      </c>
      <c r="M14" s="23">
        <f>IF(OR($A14="",N(H14)=0),"",L14/H14)</f>
        <v/>
      </c>
      <c r="N14" s="22">
        <f>IF(OR($A14="",N(C14)=0),"",(E14*G14*(1+WageCoef)+N(K14))/C14)</f>
        <v/>
      </c>
      <c r="O14" s="22">
        <f>IF(OR($A14="",N14=""),"",D14-N14)</f>
        <v/>
      </c>
    </row>
    <row r="15">
      <c r="A15" s="18" t="n"/>
      <c r="B15" s="18" t="n"/>
      <c r="C15" s="19" t="n"/>
      <c r="D15" s="20" t="n"/>
      <c r="E15" s="21">
        <f>IF($A15="","",ROUNDUP(C15/(1-RejRate),0))</f>
        <v/>
      </c>
      <c r="F15" s="21">
        <f>IF($A15="","",E15-C15)</f>
        <v/>
      </c>
      <c r="G15" s="22">
        <f>IF($A15="","",IF(B15="Gold",GoldPrice,INDEX(TierPrices,MATCH(E15,TierQty,1),MATCH(B15,TierSpecs,0))))</f>
        <v/>
      </c>
      <c r="H15" s="22">
        <f>IF($A15="","",C15*D15)</f>
        <v/>
      </c>
      <c r="I15" s="22">
        <f>IF($A15="","",E15*G15)</f>
        <v/>
      </c>
      <c r="J15" s="22">
        <f>IF($A15="","",I15*WageCoef)</f>
        <v/>
      </c>
      <c r="K15" s="20" t="n"/>
      <c r="L15" s="22">
        <f>IF($A15="","",H15-I15-J15-N(K15))</f>
        <v/>
      </c>
      <c r="M15" s="23">
        <f>IF(OR($A15="",N(H15)=0),"",L15/H15)</f>
        <v/>
      </c>
      <c r="N15" s="22">
        <f>IF(OR($A15="",N(C15)=0),"",(E15*G15*(1+WageCoef)+N(K15))/C15)</f>
        <v/>
      </c>
      <c r="O15" s="22">
        <f>IF(OR($A15="",N15=""),"",D15-N15)</f>
        <v/>
      </c>
    </row>
    <row r="16">
      <c r="A16" s="18" t="n"/>
      <c r="B16" s="18" t="n"/>
      <c r="C16" s="19" t="n"/>
      <c r="D16" s="20" t="n"/>
      <c r="E16" s="21">
        <f>IF($A16="","",ROUNDUP(C16/(1-RejRate),0))</f>
        <v/>
      </c>
      <c r="F16" s="21">
        <f>IF($A16="","",E16-C16)</f>
        <v/>
      </c>
      <c r="G16" s="22">
        <f>IF($A16="","",IF(B16="Gold",GoldPrice,INDEX(TierPrices,MATCH(E16,TierQty,1),MATCH(B16,TierSpecs,0))))</f>
        <v/>
      </c>
      <c r="H16" s="22">
        <f>IF($A16="","",C16*D16)</f>
        <v/>
      </c>
      <c r="I16" s="22">
        <f>IF($A16="","",E16*G16)</f>
        <v/>
      </c>
      <c r="J16" s="22">
        <f>IF($A16="","",I16*WageCoef)</f>
        <v/>
      </c>
      <c r="K16" s="20" t="n"/>
      <c r="L16" s="22">
        <f>IF($A16="","",H16-I16-J16-N(K16))</f>
        <v/>
      </c>
      <c r="M16" s="23">
        <f>IF(OR($A16="",N(H16)=0),"",L16/H16)</f>
        <v/>
      </c>
      <c r="N16" s="22">
        <f>IF(OR($A16="",N(C16)=0),"",(E16*G16*(1+WageCoef)+N(K16))/C16)</f>
        <v/>
      </c>
      <c r="O16" s="22">
        <f>IF(OR($A16="",N16=""),"",D16-N16)</f>
        <v/>
      </c>
    </row>
    <row r="17">
      <c r="A17" s="18" t="n"/>
      <c r="B17" s="18" t="n"/>
      <c r="C17" s="19" t="n"/>
      <c r="D17" s="20" t="n"/>
      <c r="E17" s="21">
        <f>IF($A17="","",ROUNDUP(C17/(1-RejRate),0))</f>
        <v/>
      </c>
      <c r="F17" s="21">
        <f>IF($A17="","",E17-C17)</f>
        <v/>
      </c>
      <c r="G17" s="22">
        <f>IF($A17="","",IF(B17="Gold",GoldPrice,INDEX(TierPrices,MATCH(E17,TierQty,1),MATCH(B17,TierSpecs,0))))</f>
        <v/>
      </c>
      <c r="H17" s="22">
        <f>IF($A17="","",C17*D17)</f>
        <v/>
      </c>
      <c r="I17" s="22">
        <f>IF($A17="","",E17*G17)</f>
        <v/>
      </c>
      <c r="J17" s="22">
        <f>IF($A17="","",I17*WageCoef)</f>
        <v/>
      </c>
      <c r="K17" s="20" t="n"/>
      <c r="L17" s="22">
        <f>IF($A17="","",H17-I17-J17-N(K17))</f>
        <v/>
      </c>
      <c r="M17" s="23">
        <f>IF(OR($A17="",N(H17)=0),"",L17/H17)</f>
        <v/>
      </c>
      <c r="N17" s="22">
        <f>IF(OR($A17="",N(C17)=0),"",(E17*G17*(1+WageCoef)+N(K17))/C17)</f>
        <v/>
      </c>
      <c r="O17" s="22">
        <f>IF(OR($A17="",N17=""),"",D17-N17)</f>
        <v/>
      </c>
    </row>
    <row r="18">
      <c r="A18" s="18" t="n"/>
      <c r="B18" s="18" t="n"/>
      <c r="C18" s="19" t="n"/>
      <c r="D18" s="20" t="n"/>
      <c r="E18" s="21">
        <f>IF($A18="","",ROUNDUP(C18/(1-RejRate),0))</f>
        <v/>
      </c>
      <c r="F18" s="21">
        <f>IF($A18="","",E18-C18)</f>
        <v/>
      </c>
      <c r="G18" s="22">
        <f>IF($A18="","",IF(B18="Gold",GoldPrice,INDEX(TierPrices,MATCH(E18,TierQty,1),MATCH(B18,TierSpecs,0))))</f>
        <v/>
      </c>
      <c r="H18" s="22">
        <f>IF($A18="","",C18*D18)</f>
        <v/>
      </c>
      <c r="I18" s="22">
        <f>IF($A18="","",E18*G18)</f>
        <v/>
      </c>
      <c r="J18" s="22">
        <f>IF($A18="","",I18*WageCoef)</f>
        <v/>
      </c>
      <c r="K18" s="20" t="n"/>
      <c r="L18" s="22">
        <f>IF($A18="","",H18-I18-J18-N(K18))</f>
        <v/>
      </c>
      <c r="M18" s="23">
        <f>IF(OR($A18="",N(H18)=0),"",L18/H18)</f>
        <v/>
      </c>
      <c r="N18" s="22">
        <f>IF(OR($A18="",N(C18)=0),"",(E18*G18*(1+WageCoef)+N(K18))/C18)</f>
        <v/>
      </c>
      <c r="O18" s="22">
        <f>IF(OR($A18="",N18=""),"",D18-N18)</f>
        <v/>
      </c>
    </row>
    <row r="19">
      <c r="A19" s="18" t="n"/>
      <c r="B19" s="18" t="n"/>
      <c r="C19" s="19" t="n"/>
      <c r="D19" s="20" t="n"/>
      <c r="E19" s="21">
        <f>IF($A19="","",ROUNDUP(C19/(1-RejRate),0))</f>
        <v/>
      </c>
      <c r="F19" s="21">
        <f>IF($A19="","",E19-C19)</f>
        <v/>
      </c>
      <c r="G19" s="22">
        <f>IF($A19="","",IF(B19="Gold",GoldPrice,INDEX(TierPrices,MATCH(E19,TierQty,1),MATCH(B19,TierSpecs,0))))</f>
        <v/>
      </c>
      <c r="H19" s="22">
        <f>IF($A19="","",C19*D19)</f>
        <v/>
      </c>
      <c r="I19" s="22">
        <f>IF($A19="","",E19*G19)</f>
        <v/>
      </c>
      <c r="J19" s="22">
        <f>IF($A19="","",I19*WageCoef)</f>
        <v/>
      </c>
      <c r="K19" s="20" t="n"/>
      <c r="L19" s="22">
        <f>IF($A19="","",H19-I19-J19-N(K19))</f>
        <v/>
      </c>
      <c r="M19" s="23">
        <f>IF(OR($A19="",N(H19)=0),"",L19/H19)</f>
        <v/>
      </c>
      <c r="N19" s="22">
        <f>IF(OR($A19="",N(C19)=0),"",(E19*G19*(1+WageCoef)+N(K19))/C19)</f>
        <v/>
      </c>
      <c r="O19" s="22">
        <f>IF(OR($A19="",N19=""),"",D19-N19)</f>
        <v/>
      </c>
    </row>
    <row r="20">
      <c r="A20" s="18" t="n"/>
      <c r="B20" s="18" t="n"/>
      <c r="C20" s="19" t="n"/>
      <c r="D20" s="20" t="n"/>
      <c r="E20" s="21">
        <f>IF($A20="","",ROUNDUP(C20/(1-RejRate),0))</f>
        <v/>
      </c>
      <c r="F20" s="21">
        <f>IF($A20="","",E20-C20)</f>
        <v/>
      </c>
      <c r="G20" s="22">
        <f>IF($A20="","",IF(B20="Gold",GoldPrice,INDEX(TierPrices,MATCH(E20,TierQty,1),MATCH(B20,TierSpecs,0))))</f>
        <v/>
      </c>
      <c r="H20" s="22">
        <f>IF($A20="","",C20*D20)</f>
        <v/>
      </c>
      <c r="I20" s="22">
        <f>IF($A20="","",E20*G20)</f>
        <v/>
      </c>
      <c r="J20" s="22">
        <f>IF($A20="","",I20*WageCoef)</f>
        <v/>
      </c>
      <c r="K20" s="20" t="n"/>
      <c r="L20" s="22">
        <f>IF($A20="","",H20-I20-J20-N(K20))</f>
        <v/>
      </c>
      <c r="M20" s="23">
        <f>IF(OR($A20="",N(H20)=0),"",L20/H20)</f>
        <v/>
      </c>
      <c r="N20" s="22">
        <f>IF(OR($A20="",N(C20)=0),"",(E20*G20*(1+WageCoef)+N(K20))/C20)</f>
        <v/>
      </c>
      <c r="O20" s="22">
        <f>IF(OR($A20="",N20=""),"",D20-N20)</f>
        <v/>
      </c>
    </row>
    <row r="21">
      <c r="A21" s="18" t="n"/>
      <c r="B21" s="18" t="n"/>
      <c r="C21" s="19" t="n"/>
      <c r="D21" s="20" t="n"/>
      <c r="E21" s="21">
        <f>IF($A21="","",ROUNDUP(C21/(1-RejRate),0))</f>
        <v/>
      </c>
      <c r="F21" s="21">
        <f>IF($A21="","",E21-C21)</f>
        <v/>
      </c>
      <c r="G21" s="22">
        <f>IF($A21="","",IF(B21="Gold",GoldPrice,INDEX(TierPrices,MATCH(E21,TierQty,1),MATCH(B21,TierSpecs,0))))</f>
        <v/>
      </c>
      <c r="H21" s="22">
        <f>IF($A21="","",C21*D21)</f>
        <v/>
      </c>
      <c r="I21" s="22">
        <f>IF($A21="","",E21*G21)</f>
        <v/>
      </c>
      <c r="J21" s="22">
        <f>IF($A21="","",I21*WageCoef)</f>
        <v/>
      </c>
      <c r="K21" s="20" t="n"/>
      <c r="L21" s="22">
        <f>IF($A21="","",H21-I21-J21-N(K21))</f>
        <v/>
      </c>
      <c r="M21" s="23">
        <f>IF(OR($A21="",N(H21)=0),"",L21/H21)</f>
        <v/>
      </c>
      <c r="N21" s="22">
        <f>IF(OR($A21="",N(C21)=0),"",(E21*G21*(1+WageCoef)+N(K21))/C21)</f>
        <v/>
      </c>
      <c r="O21" s="22">
        <f>IF(OR($A21="",N21=""),"",D21-N21)</f>
        <v/>
      </c>
    </row>
    <row r="22">
      <c r="A22" s="18" t="n"/>
      <c r="B22" s="18" t="n"/>
      <c r="C22" s="19" t="n"/>
      <c r="D22" s="20" t="n"/>
      <c r="E22" s="21">
        <f>IF($A22="","",ROUNDUP(C22/(1-RejRate),0))</f>
        <v/>
      </c>
      <c r="F22" s="21">
        <f>IF($A22="","",E22-C22)</f>
        <v/>
      </c>
      <c r="G22" s="22">
        <f>IF($A22="","",IF(B22="Gold",GoldPrice,INDEX(TierPrices,MATCH(E22,TierQty,1),MATCH(B22,TierSpecs,0))))</f>
        <v/>
      </c>
      <c r="H22" s="22">
        <f>IF($A22="","",C22*D22)</f>
        <v/>
      </c>
      <c r="I22" s="22">
        <f>IF($A22="","",E22*G22)</f>
        <v/>
      </c>
      <c r="J22" s="22">
        <f>IF($A22="","",I22*WageCoef)</f>
        <v/>
      </c>
      <c r="K22" s="20" t="n"/>
      <c r="L22" s="22">
        <f>IF($A22="","",H22-I22-J22-N(K22))</f>
        <v/>
      </c>
      <c r="M22" s="23">
        <f>IF(OR($A22="",N(H22)=0),"",L22/H22)</f>
        <v/>
      </c>
      <c r="N22" s="22">
        <f>IF(OR($A22="",N(C22)=0),"",(E22*G22*(1+WageCoef)+N(K22))/C22)</f>
        <v/>
      </c>
      <c r="O22" s="22">
        <f>IF(OR($A22="",N22=""),"",D22-N22)</f>
        <v/>
      </c>
    </row>
    <row r="23">
      <c r="A23" s="18" t="n"/>
      <c r="B23" s="18" t="n"/>
      <c r="C23" s="19" t="n"/>
      <c r="D23" s="20" t="n"/>
      <c r="E23" s="21">
        <f>IF($A23="","",ROUNDUP(C23/(1-RejRate),0))</f>
        <v/>
      </c>
      <c r="F23" s="21">
        <f>IF($A23="","",E23-C23)</f>
        <v/>
      </c>
      <c r="G23" s="22">
        <f>IF($A23="","",IF(B23="Gold",GoldPrice,INDEX(TierPrices,MATCH(E23,TierQty,1),MATCH(B23,TierSpecs,0))))</f>
        <v/>
      </c>
      <c r="H23" s="22">
        <f>IF($A23="","",C23*D23)</f>
        <v/>
      </c>
      <c r="I23" s="22">
        <f>IF($A23="","",E23*G23)</f>
        <v/>
      </c>
      <c r="J23" s="22">
        <f>IF($A23="","",I23*WageCoef)</f>
        <v/>
      </c>
      <c r="K23" s="20" t="n"/>
      <c r="L23" s="22">
        <f>IF($A23="","",H23-I23-J23-N(K23))</f>
        <v/>
      </c>
      <c r="M23" s="23">
        <f>IF(OR($A23="",N(H23)=0),"",L23/H23)</f>
        <v/>
      </c>
      <c r="N23" s="22">
        <f>IF(OR($A23="",N(C23)=0),"",(E23*G23*(1+WageCoef)+N(K23))/C23)</f>
        <v/>
      </c>
      <c r="O23" s="22">
        <f>IF(OR($A23="",N23=""),"",D23-N23)</f>
        <v/>
      </c>
    </row>
    <row r="24">
      <c r="A24" s="18" t="n"/>
      <c r="B24" s="18" t="n"/>
      <c r="C24" s="19" t="n"/>
      <c r="D24" s="20" t="n"/>
      <c r="E24" s="21">
        <f>IF($A24="","",ROUNDUP(C24/(1-RejRate),0))</f>
        <v/>
      </c>
      <c r="F24" s="21">
        <f>IF($A24="","",E24-C24)</f>
        <v/>
      </c>
      <c r="G24" s="22">
        <f>IF($A24="","",IF(B24="Gold",GoldPrice,INDEX(TierPrices,MATCH(E24,TierQty,1),MATCH(B24,TierSpecs,0))))</f>
        <v/>
      </c>
      <c r="H24" s="22">
        <f>IF($A24="","",C24*D24)</f>
        <v/>
      </c>
      <c r="I24" s="22">
        <f>IF($A24="","",E24*G24)</f>
        <v/>
      </c>
      <c r="J24" s="22">
        <f>IF($A24="","",I24*WageCoef)</f>
        <v/>
      </c>
      <c r="K24" s="20" t="n"/>
      <c r="L24" s="22">
        <f>IF($A24="","",H24-I24-J24-N(K24))</f>
        <v/>
      </c>
      <c r="M24" s="23">
        <f>IF(OR($A24="",N(H24)=0),"",L24/H24)</f>
        <v/>
      </c>
      <c r="N24" s="22">
        <f>IF(OR($A24="",N(C24)=0),"",(E24*G24*(1+WageCoef)+N(K24))/C24)</f>
        <v/>
      </c>
      <c r="O24" s="22">
        <f>IF(OR($A24="",N24=""),"",D24-N24)</f>
        <v/>
      </c>
    </row>
    <row r="25">
      <c r="A25" s="18" t="n"/>
      <c r="B25" s="18" t="n"/>
      <c r="C25" s="19" t="n"/>
      <c r="D25" s="20" t="n"/>
      <c r="E25" s="21">
        <f>IF($A25="","",ROUNDUP(C25/(1-RejRate),0))</f>
        <v/>
      </c>
      <c r="F25" s="21">
        <f>IF($A25="","",E25-C25)</f>
        <v/>
      </c>
      <c r="G25" s="22">
        <f>IF($A25="","",IF(B25="Gold",GoldPrice,INDEX(TierPrices,MATCH(E25,TierQty,1),MATCH(B25,TierSpecs,0))))</f>
        <v/>
      </c>
      <c r="H25" s="22">
        <f>IF($A25="","",C25*D25)</f>
        <v/>
      </c>
      <c r="I25" s="22">
        <f>IF($A25="","",E25*G25)</f>
        <v/>
      </c>
      <c r="J25" s="22">
        <f>IF($A25="","",I25*WageCoef)</f>
        <v/>
      </c>
      <c r="K25" s="20" t="n"/>
      <c r="L25" s="22">
        <f>IF($A25="","",H25-I25-J25-N(K25))</f>
        <v/>
      </c>
      <c r="M25" s="23">
        <f>IF(OR($A25="",N(H25)=0),"",L25/H25)</f>
        <v/>
      </c>
      <c r="N25" s="22">
        <f>IF(OR($A25="",N(C25)=0),"",(E25*G25*(1+WageCoef)+N(K25))/C25)</f>
        <v/>
      </c>
      <c r="O25" s="22">
        <f>IF(OR($A25="",N25=""),"",D25-N25)</f>
        <v/>
      </c>
    </row>
    <row r="26">
      <c r="A26" s="18" t="n"/>
      <c r="B26" s="18" t="n"/>
      <c r="C26" s="19" t="n"/>
      <c r="D26" s="20" t="n"/>
      <c r="E26" s="21">
        <f>IF($A26="","",ROUNDUP(C26/(1-RejRate),0))</f>
        <v/>
      </c>
      <c r="F26" s="21">
        <f>IF($A26="","",E26-C26)</f>
        <v/>
      </c>
      <c r="G26" s="22">
        <f>IF($A26="","",IF(B26="Gold",GoldPrice,INDEX(TierPrices,MATCH(E26,TierQty,1),MATCH(B26,TierSpecs,0))))</f>
        <v/>
      </c>
      <c r="H26" s="22">
        <f>IF($A26="","",C26*D26)</f>
        <v/>
      </c>
      <c r="I26" s="22">
        <f>IF($A26="","",E26*G26)</f>
        <v/>
      </c>
      <c r="J26" s="22">
        <f>IF($A26="","",I26*WageCoef)</f>
        <v/>
      </c>
      <c r="K26" s="20" t="n"/>
      <c r="L26" s="22">
        <f>IF($A26="","",H26-I26-J26-N(K26))</f>
        <v/>
      </c>
      <c r="M26" s="23">
        <f>IF(OR($A26="",N(H26)=0),"",L26/H26)</f>
        <v/>
      </c>
      <c r="N26" s="22">
        <f>IF(OR($A26="",N(C26)=0),"",(E26*G26*(1+WageCoef)+N(K26))/C26)</f>
        <v/>
      </c>
      <c r="O26" s="22">
        <f>IF(OR($A26="",N26=""),"",D26-N26)</f>
        <v/>
      </c>
    </row>
    <row r="27">
      <c r="A27" s="18" t="n"/>
      <c r="B27" s="18" t="n"/>
      <c r="C27" s="19" t="n"/>
      <c r="D27" s="20" t="n"/>
      <c r="E27" s="21">
        <f>IF($A27="","",ROUNDUP(C27/(1-RejRate),0))</f>
        <v/>
      </c>
      <c r="F27" s="21">
        <f>IF($A27="","",E27-C27)</f>
        <v/>
      </c>
      <c r="G27" s="22">
        <f>IF($A27="","",IF(B27="Gold",GoldPrice,INDEX(TierPrices,MATCH(E27,TierQty,1),MATCH(B27,TierSpecs,0))))</f>
        <v/>
      </c>
      <c r="H27" s="22">
        <f>IF($A27="","",C27*D27)</f>
        <v/>
      </c>
      <c r="I27" s="22">
        <f>IF($A27="","",E27*G27)</f>
        <v/>
      </c>
      <c r="J27" s="22">
        <f>IF($A27="","",I27*WageCoef)</f>
        <v/>
      </c>
      <c r="K27" s="20" t="n"/>
      <c r="L27" s="22">
        <f>IF($A27="","",H27-I27-J27-N(K27))</f>
        <v/>
      </c>
      <c r="M27" s="23">
        <f>IF(OR($A27="",N(H27)=0),"",L27/H27)</f>
        <v/>
      </c>
      <c r="N27" s="22">
        <f>IF(OR($A27="",N(C27)=0),"",(E27*G27*(1+WageCoef)+N(K27))/C27)</f>
        <v/>
      </c>
      <c r="O27" s="22">
        <f>IF(OR($A27="",N27=""),"",D27-N27)</f>
        <v/>
      </c>
    </row>
    <row r="28">
      <c r="A28" s="18" t="n"/>
      <c r="B28" s="18" t="n"/>
      <c r="C28" s="19" t="n"/>
      <c r="D28" s="20" t="n"/>
      <c r="E28" s="21">
        <f>IF($A28="","",ROUNDUP(C28/(1-RejRate),0))</f>
        <v/>
      </c>
      <c r="F28" s="21">
        <f>IF($A28="","",E28-C28)</f>
        <v/>
      </c>
      <c r="G28" s="22">
        <f>IF($A28="","",IF(B28="Gold",GoldPrice,INDEX(TierPrices,MATCH(E28,TierQty,1),MATCH(B28,TierSpecs,0))))</f>
        <v/>
      </c>
      <c r="H28" s="22">
        <f>IF($A28="","",C28*D28)</f>
        <v/>
      </c>
      <c r="I28" s="22">
        <f>IF($A28="","",E28*G28)</f>
        <v/>
      </c>
      <c r="J28" s="22">
        <f>IF($A28="","",I28*WageCoef)</f>
        <v/>
      </c>
      <c r="K28" s="20" t="n"/>
      <c r="L28" s="22">
        <f>IF($A28="","",H28-I28-J28-N(K28))</f>
        <v/>
      </c>
      <c r="M28" s="23">
        <f>IF(OR($A28="",N(H28)=0),"",L28/H28)</f>
        <v/>
      </c>
      <c r="N28" s="22">
        <f>IF(OR($A28="",N(C28)=0),"",(E28*G28*(1+WageCoef)+N(K28))/C28)</f>
        <v/>
      </c>
      <c r="O28" s="22">
        <f>IF(OR($A28="",N28=""),"",D28-N28)</f>
        <v/>
      </c>
    </row>
    <row r="29">
      <c r="A29" s="18" t="n"/>
      <c r="B29" s="18" t="n"/>
      <c r="C29" s="19" t="n"/>
      <c r="D29" s="20" t="n"/>
      <c r="E29" s="21">
        <f>IF($A29="","",ROUNDUP(C29/(1-RejRate),0))</f>
        <v/>
      </c>
      <c r="F29" s="21">
        <f>IF($A29="","",E29-C29)</f>
        <v/>
      </c>
      <c r="G29" s="22">
        <f>IF($A29="","",IF(B29="Gold",GoldPrice,INDEX(TierPrices,MATCH(E29,TierQty,1),MATCH(B29,TierSpecs,0))))</f>
        <v/>
      </c>
      <c r="H29" s="22">
        <f>IF($A29="","",C29*D29)</f>
        <v/>
      </c>
      <c r="I29" s="22">
        <f>IF($A29="","",E29*G29)</f>
        <v/>
      </c>
      <c r="J29" s="22">
        <f>IF($A29="","",I29*WageCoef)</f>
        <v/>
      </c>
      <c r="K29" s="20" t="n"/>
      <c r="L29" s="22">
        <f>IF($A29="","",H29-I29-J29-N(K29))</f>
        <v/>
      </c>
      <c r="M29" s="23">
        <f>IF(OR($A29="",N(H29)=0),"",L29/H29)</f>
        <v/>
      </c>
      <c r="N29" s="22">
        <f>IF(OR($A29="",N(C29)=0),"",(E29*G29*(1+WageCoef)+N(K29))/C29)</f>
        <v/>
      </c>
      <c r="O29" s="22">
        <f>IF(OR($A29="",N29=""),"",D29-N29)</f>
        <v/>
      </c>
    </row>
    <row r="30">
      <c r="A30" s="18" t="n"/>
      <c r="B30" s="18" t="n"/>
      <c r="C30" s="19" t="n"/>
      <c r="D30" s="20" t="n"/>
      <c r="E30" s="21">
        <f>IF($A30="","",ROUNDUP(C30/(1-RejRate),0))</f>
        <v/>
      </c>
      <c r="F30" s="21">
        <f>IF($A30="","",E30-C30)</f>
        <v/>
      </c>
      <c r="G30" s="22">
        <f>IF($A30="","",IF(B30="Gold",GoldPrice,INDEX(TierPrices,MATCH(E30,TierQty,1),MATCH(B30,TierSpecs,0))))</f>
        <v/>
      </c>
      <c r="H30" s="22">
        <f>IF($A30="","",C30*D30)</f>
        <v/>
      </c>
      <c r="I30" s="22">
        <f>IF($A30="","",E30*G30)</f>
        <v/>
      </c>
      <c r="J30" s="22">
        <f>IF($A30="","",I30*WageCoef)</f>
        <v/>
      </c>
      <c r="K30" s="20" t="n"/>
      <c r="L30" s="22">
        <f>IF($A30="","",H30-I30-J30-N(K30))</f>
        <v/>
      </c>
      <c r="M30" s="23">
        <f>IF(OR($A30="",N(H30)=0),"",L30/H30)</f>
        <v/>
      </c>
      <c r="N30" s="22">
        <f>IF(OR($A30="",N(C30)=0),"",(E30*G30*(1+WageCoef)+N(K30))/C30)</f>
        <v/>
      </c>
      <c r="O30" s="22">
        <f>IF(OR($A30="",N30=""),"",D30-N30)</f>
        <v/>
      </c>
    </row>
    <row r="31">
      <c r="A31" s="18" t="n"/>
      <c r="B31" s="18" t="n"/>
      <c r="C31" s="19" t="n"/>
      <c r="D31" s="20" t="n"/>
      <c r="E31" s="21">
        <f>IF($A31="","",ROUNDUP(C31/(1-RejRate),0))</f>
        <v/>
      </c>
      <c r="F31" s="21">
        <f>IF($A31="","",E31-C31)</f>
        <v/>
      </c>
      <c r="G31" s="22">
        <f>IF($A31="","",IF(B31="Gold",GoldPrice,INDEX(TierPrices,MATCH(E31,TierQty,1),MATCH(B31,TierSpecs,0))))</f>
        <v/>
      </c>
      <c r="H31" s="22">
        <f>IF($A31="","",C31*D31)</f>
        <v/>
      </c>
      <c r="I31" s="22">
        <f>IF($A31="","",E31*G31)</f>
        <v/>
      </c>
      <c r="J31" s="22">
        <f>IF($A31="","",I31*WageCoef)</f>
        <v/>
      </c>
      <c r="K31" s="20" t="n"/>
      <c r="L31" s="22">
        <f>IF($A31="","",H31-I31-J31-N(K31))</f>
        <v/>
      </c>
      <c r="M31" s="23">
        <f>IF(OR($A31="",N(H31)=0),"",L31/H31)</f>
        <v/>
      </c>
      <c r="N31" s="22">
        <f>IF(OR($A31="",N(C31)=0),"",(E31*G31*(1+WageCoef)+N(K31))/C31)</f>
        <v/>
      </c>
      <c r="O31" s="22">
        <f>IF(OR($A31="",N31=""),"",D31-N31)</f>
        <v/>
      </c>
    </row>
    <row r="32">
      <c r="A32" s="18" t="n"/>
      <c r="B32" s="18" t="n"/>
      <c r="C32" s="19" t="n"/>
      <c r="D32" s="20" t="n"/>
      <c r="E32" s="21">
        <f>IF($A32="","",ROUNDUP(C32/(1-RejRate),0))</f>
        <v/>
      </c>
      <c r="F32" s="21">
        <f>IF($A32="","",E32-C32)</f>
        <v/>
      </c>
      <c r="G32" s="22">
        <f>IF($A32="","",IF(B32="Gold",GoldPrice,INDEX(TierPrices,MATCH(E32,TierQty,1),MATCH(B32,TierSpecs,0))))</f>
        <v/>
      </c>
      <c r="H32" s="22">
        <f>IF($A32="","",C32*D32)</f>
        <v/>
      </c>
      <c r="I32" s="22">
        <f>IF($A32="","",E32*G32)</f>
        <v/>
      </c>
      <c r="J32" s="22">
        <f>IF($A32="","",I32*WageCoef)</f>
        <v/>
      </c>
      <c r="K32" s="20" t="n"/>
      <c r="L32" s="22">
        <f>IF($A32="","",H32-I32-J32-N(K32))</f>
        <v/>
      </c>
      <c r="M32" s="23">
        <f>IF(OR($A32="",N(H32)=0),"",L32/H32)</f>
        <v/>
      </c>
      <c r="N32" s="22">
        <f>IF(OR($A32="",N(C32)=0),"",(E32*G32*(1+WageCoef)+N(K32))/C32)</f>
        <v/>
      </c>
      <c r="O32" s="22">
        <f>IF(OR($A32="",N32=""),"",D32-N32)</f>
        <v/>
      </c>
    </row>
    <row r="33">
      <c r="A33" s="18" t="n"/>
      <c r="B33" s="18" t="n"/>
      <c r="C33" s="19" t="n"/>
      <c r="D33" s="20" t="n"/>
      <c r="E33" s="21">
        <f>IF($A33="","",ROUNDUP(C33/(1-RejRate),0))</f>
        <v/>
      </c>
      <c r="F33" s="21">
        <f>IF($A33="","",E33-C33)</f>
        <v/>
      </c>
      <c r="G33" s="22">
        <f>IF($A33="","",IF(B33="Gold",GoldPrice,INDEX(TierPrices,MATCH(E33,TierQty,1),MATCH(B33,TierSpecs,0))))</f>
        <v/>
      </c>
      <c r="H33" s="22">
        <f>IF($A33="","",C33*D33)</f>
        <v/>
      </c>
      <c r="I33" s="22">
        <f>IF($A33="","",E33*G33)</f>
        <v/>
      </c>
      <c r="J33" s="22">
        <f>IF($A33="","",I33*WageCoef)</f>
        <v/>
      </c>
      <c r="K33" s="20" t="n"/>
      <c r="L33" s="22">
        <f>IF($A33="","",H33-I33-J33-N(K33))</f>
        <v/>
      </c>
      <c r="M33" s="23">
        <f>IF(OR($A33="",N(H33)=0),"",L33/H33)</f>
        <v/>
      </c>
      <c r="N33" s="22">
        <f>IF(OR($A33="",N(C33)=0),"",(E33*G33*(1+WageCoef)+N(K33))/C33)</f>
        <v/>
      </c>
      <c r="O33" s="22">
        <f>IF(OR($A33="",N33=""),"",D33-N33)</f>
        <v/>
      </c>
    </row>
    <row r="34">
      <c r="A34" s="18" t="n"/>
      <c r="B34" s="18" t="n"/>
      <c r="C34" s="19" t="n"/>
      <c r="D34" s="20" t="n"/>
      <c r="E34" s="21">
        <f>IF($A34="","",ROUNDUP(C34/(1-RejRate),0))</f>
        <v/>
      </c>
      <c r="F34" s="21">
        <f>IF($A34="","",E34-C34)</f>
        <v/>
      </c>
      <c r="G34" s="22">
        <f>IF($A34="","",IF(B34="Gold",GoldPrice,INDEX(TierPrices,MATCH(E34,TierQty,1),MATCH(B34,TierSpecs,0))))</f>
        <v/>
      </c>
      <c r="H34" s="22">
        <f>IF($A34="","",C34*D34)</f>
        <v/>
      </c>
      <c r="I34" s="22">
        <f>IF($A34="","",E34*G34)</f>
        <v/>
      </c>
      <c r="J34" s="22">
        <f>IF($A34="","",I34*WageCoef)</f>
        <v/>
      </c>
      <c r="K34" s="20" t="n"/>
      <c r="L34" s="22">
        <f>IF($A34="","",H34-I34-J34-N(K34))</f>
        <v/>
      </c>
      <c r="M34" s="23">
        <f>IF(OR($A34="",N(H34)=0),"",L34/H34)</f>
        <v/>
      </c>
      <c r="N34" s="22">
        <f>IF(OR($A34="",N(C34)=0),"",(E34*G34*(1+WageCoef)+N(K34))/C34)</f>
        <v/>
      </c>
      <c r="O34" s="22">
        <f>IF(OR($A34="",N34=""),"",D34-N34)</f>
        <v/>
      </c>
    </row>
    <row r="36">
      <c r="A36" s="25" t="inlineStr">
        <is>
          <t>Total</t>
        </is>
      </c>
      <c r="B36" s="26" t="n"/>
      <c r="C36" s="27">
        <f>SUM(C5:C34)</f>
        <v/>
      </c>
      <c r="D36" s="28" t="n"/>
      <c r="E36" s="27">
        <f>SUM(E5:E34)</f>
        <v/>
      </c>
      <c r="F36" s="27">
        <f>SUM(F5:F34)</f>
        <v/>
      </c>
      <c r="G36" s="28" t="n"/>
      <c r="H36" s="28">
        <f>SUM(H5:H34)</f>
        <v/>
      </c>
      <c r="I36" s="28">
        <f>SUM(I5:I34)</f>
        <v/>
      </c>
      <c r="J36" s="28">
        <f>SUM(J5:J34)</f>
        <v/>
      </c>
      <c r="K36" s="28">
        <f>SUM(K5:K34)</f>
        <v/>
      </c>
      <c r="L36" s="28">
        <f>SUM(L5:L34)</f>
        <v/>
      </c>
      <c r="M36" s="29">
        <f>IF(N(H36)=0,"",L36/H36)</f>
        <v/>
      </c>
      <c r="N36" s="28" t="n"/>
      <c r="O36" s="28" t="n"/>
    </row>
  </sheetData>
  <conditionalFormatting sqref="D5:D34">
    <cfRule type="expression" priority="1" dxfId="0" stopIfTrue="0">
      <formula>AND(ISNUMBER(D5),OR(D5&lt;PriceMin,D5&gt;PriceMax))</formula>
    </cfRule>
  </conditionalFormatting>
  <dataValidations count="1">
    <dataValidation sqref="B5:B34" showDropDown="0" showInputMessage="0" showErrorMessage="1" allowBlank="1" errorTitle="Spec" error="Choose Blue, Silver, Copper or Gold." type="list">
      <formula1>"Blue,Silver,Copper,Gold"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AF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Year 1 profit and loss</t>
        </is>
      </c>
    </row>
    <row r="2">
      <c r="A2" s="2" t="inlineStr">
        <is>
          <t>Contract columns read Contracts Y1 row by row; blank columns are unused contract rows. Year total sums the whole contract range. Costs shown as positive amounts that are subtracted.</t>
        </is>
      </c>
    </row>
    <row r="4">
      <c r="A4" s="8" t="inlineStr">
        <is>
          <t>Contract</t>
        </is>
      </c>
      <c r="B4" s="8" t="inlineStr">
        <is>
          <t>Year total</t>
        </is>
      </c>
      <c r="C4" s="8">
        <f>IF('Contracts Y1'!$A5="","",'Contracts Y1'!$A5)</f>
        <v/>
      </c>
      <c r="D4" s="8">
        <f>IF('Contracts Y1'!$A6="","",'Contracts Y1'!$A6)</f>
        <v/>
      </c>
      <c r="E4" s="8">
        <f>IF('Contracts Y1'!$A7="","",'Contracts Y1'!$A7)</f>
        <v/>
      </c>
      <c r="F4" s="8">
        <f>IF('Contracts Y1'!$A8="","",'Contracts Y1'!$A8)</f>
        <v/>
      </c>
      <c r="G4" s="8">
        <f>IF('Contracts Y1'!$A9="","",'Contracts Y1'!$A9)</f>
        <v/>
      </c>
      <c r="H4" s="8">
        <f>IF('Contracts Y1'!$A10="","",'Contracts Y1'!$A10)</f>
        <v/>
      </c>
      <c r="I4" s="8">
        <f>IF('Contracts Y1'!$A11="","",'Contracts Y1'!$A11)</f>
        <v/>
      </c>
      <c r="J4" s="8">
        <f>IF('Contracts Y1'!$A12="","",'Contracts Y1'!$A12)</f>
        <v/>
      </c>
      <c r="K4" s="8">
        <f>IF('Contracts Y1'!$A13="","",'Contracts Y1'!$A13)</f>
        <v/>
      </c>
      <c r="L4" s="8">
        <f>IF('Contracts Y1'!$A14="","",'Contracts Y1'!$A14)</f>
        <v/>
      </c>
      <c r="M4" s="8">
        <f>IF('Contracts Y1'!$A15="","",'Contracts Y1'!$A15)</f>
        <v/>
      </c>
      <c r="N4" s="8">
        <f>IF('Contracts Y1'!$A16="","",'Contracts Y1'!$A16)</f>
        <v/>
      </c>
      <c r="O4" s="8">
        <f>IF('Contracts Y1'!$A17="","",'Contracts Y1'!$A17)</f>
        <v/>
      </c>
      <c r="P4" s="8">
        <f>IF('Contracts Y1'!$A18="","",'Contracts Y1'!$A18)</f>
        <v/>
      </c>
      <c r="Q4" s="8">
        <f>IF('Contracts Y1'!$A19="","",'Contracts Y1'!$A19)</f>
        <v/>
      </c>
      <c r="R4" s="8">
        <f>IF('Contracts Y1'!$A20="","",'Contracts Y1'!$A20)</f>
        <v/>
      </c>
      <c r="S4" s="8">
        <f>IF('Contracts Y1'!$A21="","",'Contracts Y1'!$A21)</f>
        <v/>
      </c>
      <c r="T4" s="8">
        <f>IF('Contracts Y1'!$A22="","",'Contracts Y1'!$A22)</f>
        <v/>
      </c>
      <c r="U4" s="8">
        <f>IF('Contracts Y1'!$A23="","",'Contracts Y1'!$A23)</f>
        <v/>
      </c>
      <c r="V4" s="8">
        <f>IF('Contracts Y1'!$A24="","",'Contracts Y1'!$A24)</f>
        <v/>
      </c>
      <c r="W4" s="8">
        <f>IF('Contracts Y1'!$A25="","",'Contracts Y1'!$A25)</f>
        <v/>
      </c>
      <c r="X4" s="8">
        <f>IF('Contracts Y1'!$A26="","",'Contracts Y1'!$A26)</f>
        <v/>
      </c>
      <c r="Y4" s="8">
        <f>IF('Contracts Y1'!$A27="","",'Contracts Y1'!$A27)</f>
        <v/>
      </c>
      <c r="Z4" s="8">
        <f>IF('Contracts Y1'!$A28="","",'Contracts Y1'!$A28)</f>
        <v/>
      </c>
      <c r="AA4" s="8">
        <f>IF('Contracts Y1'!$A29="","",'Contracts Y1'!$A29)</f>
        <v/>
      </c>
      <c r="AB4" s="8">
        <f>IF('Contracts Y1'!$A30="","",'Contracts Y1'!$A30)</f>
        <v/>
      </c>
      <c r="AC4" s="8">
        <f>IF('Contracts Y1'!$A31="","",'Contracts Y1'!$A31)</f>
        <v/>
      </c>
      <c r="AD4" s="8">
        <f>IF('Contracts Y1'!$A32="","",'Contracts Y1'!$A32)</f>
        <v/>
      </c>
      <c r="AE4" s="8">
        <f>IF('Contracts Y1'!$A33="","",'Contracts Y1'!$A33)</f>
        <v/>
      </c>
      <c r="AF4" s="8">
        <f>IF('Contracts Y1'!$A34="","",'Contracts Y1'!$A34)</f>
        <v/>
      </c>
    </row>
    <row r="5">
      <c r="A5" s="8" t="inlineStr">
        <is>
          <t>Spec</t>
        </is>
      </c>
      <c r="B5" s="30" t="inlineStr"/>
      <c r="C5" s="8">
        <f>IF('Contracts Y1'!$A5="","",'Contracts Y1'!$B5)</f>
        <v/>
      </c>
      <c r="D5" s="8">
        <f>IF('Contracts Y1'!$A6="","",'Contracts Y1'!$B6)</f>
        <v/>
      </c>
      <c r="E5" s="8">
        <f>IF('Contracts Y1'!$A7="","",'Contracts Y1'!$B7)</f>
        <v/>
      </c>
      <c r="F5" s="8">
        <f>IF('Contracts Y1'!$A8="","",'Contracts Y1'!$B8)</f>
        <v/>
      </c>
      <c r="G5" s="8">
        <f>IF('Contracts Y1'!$A9="","",'Contracts Y1'!$B9)</f>
        <v/>
      </c>
      <c r="H5" s="8">
        <f>IF('Contracts Y1'!$A10="","",'Contracts Y1'!$B10)</f>
        <v/>
      </c>
      <c r="I5" s="8">
        <f>IF('Contracts Y1'!$A11="","",'Contracts Y1'!$B11)</f>
        <v/>
      </c>
      <c r="J5" s="8">
        <f>IF('Contracts Y1'!$A12="","",'Contracts Y1'!$B12)</f>
        <v/>
      </c>
      <c r="K5" s="8">
        <f>IF('Contracts Y1'!$A13="","",'Contracts Y1'!$B13)</f>
        <v/>
      </c>
      <c r="L5" s="8">
        <f>IF('Contracts Y1'!$A14="","",'Contracts Y1'!$B14)</f>
        <v/>
      </c>
      <c r="M5" s="8">
        <f>IF('Contracts Y1'!$A15="","",'Contracts Y1'!$B15)</f>
        <v/>
      </c>
      <c r="N5" s="8">
        <f>IF('Contracts Y1'!$A16="","",'Contracts Y1'!$B16)</f>
        <v/>
      </c>
      <c r="O5" s="8">
        <f>IF('Contracts Y1'!$A17="","",'Contracts Y1'!$B17)</f>
        <v/>
      </c>
      <c r="P5" s="8">
        <f>IF('Contracts Y1'!$A18="","",'Contracts Y1'!$B18)</f>
        <v/>
      </c>
      <c r="Q5" s="8">
        <f>IF('Contracts Y1'!$A19="","",'Contracts Y1'!$B19)</f>
        <v/>
      </c>
      <c r="R5" s="8">
        <f>IF('Contracts Y1'!$A20="","",'Contracts Y1'!$B20)</f>
        <v/>
      </c>
      <c r="S5" s="8">
        <f>IF('Contracts Y1'!$A21="","",'Contracts Y1'!$B21)</f>
        <v/>
      </c>
      <c r="T5" s="8">
        <f>IF('Contracts Y1'!$A22="","",'Contracts Y1'!$B22)</f>
        <v/>
      </c>
      <c r="U5" s="8">
        <f>IF('Contracts Y1'!$A23="","",'Contracts Y1'!$B23)</f>
        <v/>
      </c>
      <c r="V5" s="8">
        <f>IF('Contracts Y1'!$A24="","",'Contracts Y1'!$B24)</f>
        <v/>
      </c>
      <c r="W5" s="8">
        <f>IF('Contracts Y1'!$A25="","",'Contracts Y1'!$B25)</f>
        <v/>
      </c>
      <c r="X5" s="8">
        <f>IF('Contracts Y1'!$A26="","",'Contracts Y1'!$B26)</f>
        <v/>
      </c>
      <c r="Y5" s="8">
        <f>IF('Contracts Y1'!$A27="","",'Contracts Y1'!$B27)</f>
        <v/>
      </c>
      <c r="Z5" s="8">
        <f>IF('Contracts Y1'!$A28="","",'Contracts Y1'!$B28)</f>
        <v/>
      </c>
      <c r="AA5" s="8">
        <f>IF('Contracts Y1'!$A29="","",'Contracts Y1'!$B29)</f>
        <v/>
      </c>
      <c r="AB5" s="8">
        <f>IF('Contracts Y1'!$A30="","",'Contracts Y1'!$B30)</f>
        <v/>
      </c>
      <c r="AC5" s="8">
        <f>IF('Contracts Y1'!$A31="","",'Contracts Y1'!$B31)</f>
        <v/>
      </c>
      <c r="AD5" s="8">
        <f>IF('Contracts Y1'!$A32="","",'Contracts Y1'!$B32)</f>
        <v/>
      </c>
      <c r="AE5" s="8">
        <f>IF('Contracts Y1'!$A33="","",'Contracts Y1'!$B33)</f>
        <v/>
      </c>
      <c r="AF5" s="8">
        <f>IF('Contracts Y1'!$A34="","",'Contracts Y1'!$B34)</f>
        <v/>
      </c>
    </row>
    <row r="6">
      <c r="A6" s="4" t="inlineStr">
        <is>
          <t>Contract revenue</t>
        </is>
      </c>
      <c r="B6" s="12">
        <f>SUM('Contracts Y1'!H$5:H$34)</f>
        <v/>
      </c>
      <c r="C6" s="12">
        <f>IF(C$4="","",'Contracts Y1'!H5)</f>
        <v/>
      </c>
      <c r="D6" s="12">
        <f>IF(D$4="","",'Contracts Y1'!H6)</f>
        <v/>
      </c>
      <c r="E6" s="12">
        <f>IF(E$4="","",'Contracts Y1'!H7)</f>
        <v/>
      </c>
      <c r="F6" s="12">
        <f>IF(F$4="","",'Contracts Y1'!H8)</f>
        <v/>
      </c>
      <c r="G6" s="12">
        <f>IF(G$4="","",'Contracts Y1'!H9)</f>
        <v/>
      </c>
      <c r="H6" s="12">
        <f>IF(H$4="","",'Contracts Y1'!H10)</f>
        <v/>
      </c>
      <c r="I6" s="12">
        <f>IF(I$4="","",'Contracts Y1'!H11)</f>
        <v/>
      </c>
      <c r="J6" s="12">
        <f>IF(J$4="","",'Contracts Y1'!H12)</f>
        <v/>
      </c>
      <c r="K6" s="12">
        <f>IF(K$4="","",'Contracts Y1'!H13)</f>
        <v/>
      </c>
      <c r="L6" s="12">
        <f>IF(L$4="","",'Contracts Y1'!H14)</f>
        <v/>
      </c>
      <c r="M6" s="12">
        <f>IF(M$4="","",'Contracts Y1'!H15)</f>
        <v/>
      </c>
      <c r="N6" s="12">
        <f>IF(N$4="","",'Contracts Y1'!H16)</f>
        <v/>
      </c>
      <c r="O6" s="12">
        <f>IF(O$4="","",'Contracts Y1'!H17)</f>
        <v/>
      </c>
      <c r="P6" s="12">
        <f>IF(P$4="","",'Contracts Y1'!H18)</f>
        <v/>
      </c>
      <c r="Q6" s="12">
        <f>IF(Q$4="","",'Contracts Y1'!H19)</f>
        <v/>
      </c>
      <c r="R6" s="12">
        <f>IF(R$4="","",'Contracts Y1'!H20)</f>
        <v/>
      </c>
      <c r="S6" s="12">
        <f>IF(S$4="","",'Contracts Y1'!H21)</f>
        <v/>
      </c>
      <c r="T6" s="12">
        <f>IF(T$4="","",'Contracts Y1'!H22)</f>
        <v/>
      </c>
      <c r="U6" s="12">
        <f>IF(U$4="","",'Contracts Y1'!H23)</f>
        <v/>
      </c>
      <c r="V6" s="12">
        <f>IF(V$4="","",'Contracts Y1'!H24)</f>
        <v/>
      </c>
      <c r="W6" s="12">
        <f>IF(W$4="","",'Contracts Y1'!H25)</f>
        <v/>
      </c>
      <c r="X6" s="12">
        <f>IF(X$4="","",'Contracts Y1'!H26)</f>
        <v/>
      </c>
      <c r="Y6" s="12">
        <f>IF(Y$4="","",'Contracts Y1'!H27)</f>
        <v/>
      </c>
      <c r="Z6" s="12">
        <f>IF(Z$4="","",'Contracts Y1'!H28)</f>
        <v/>
      </c>
      <c r="AA6" s="12">
        <f>IF(AA$4="","",'Contracts Y1'!H29)</f>
        <v/>
      </c>
      <c r="AB6" s="12">
        <f>IF(AB$4="","",'Contracts Y1'!H30)</f>
        <v/>
      </c>
      <c r="AC6" s="12">
        <f>IF(AC$4="","",'Contracts Y1'!H31)</f>
        <v/>
      </c>
      <c r="AD6" s="12">
        <f>IF(AD$4="","",'Contracts Y1'!H32)</f>
        <v/>
      </c>
      <c r="AE6" s="12">
        <f>IF(AE$4="","",'Contracts Y1'!H33)</f>
        <v/>
      </c>
      <c r="AF6" s="12">
        <f>IF(AF$4="","",'Contracts Y1'!H34)</f>
        <v/>
      </c>
    </row>
    <row r="7">
      <c r="A7" s="4" t="inlineStr">
        <is>
          <t>Less raw materials used</t>
        </is>
      </c>
      <c r="B7" s="12">
        <f>SUM('Contracts Y1'!I$5:I$34)</f>
        <v/>
      </c>
      <c r="C7" s="12">
        <f>IF(C$4="","",'Contracts Y1'!I5)</f>
        <v/>
      </c>
      <c r="D7" s="12">
        <f>IF(D$4="","",'Contracts Y1'!I6)</f>
        <v/>
      </c>
      <c r="E7" s="12">
        <f>IF(E$4="","",'Contracts Y1'!I7)</f>
        <v/>
      </c>
      <c r="F7" s="12">
        <f>IF(F$4="","",'Contracts Y1'!I8)</f>
        <v/>
      </c>
      <c r="G7" s="12">
        <f>IF(G$4="","",'Contracts Y1'!I9)</f>
        <v/>
      </c>
      <c r="H7" s="12">
        <f>IF(H$4="","",'Contracts Y1'!I10)</f>
        <v/>
      </c>
      <c r="I7" s="12">
        <f>IF(I$4="","",'Contracts Y1'!I11)</f>
        <v/>
      </c>
      <c r="J7" s="12">
        <f>IF(J$4="","",'Contracts Y1'!I12)</f>
        <v/>
      </c>
      <c r="K7" s="12">
        <f>IF(K$4="","",'Contracts Y1'!I13)</f>
        <v/>
      </c>
      <c r="L7" s="12">
        <f>IF(L$4="","",'Contracts Y1'!I14)</f>
        <v/>
      </c>
      <c r="M7" s="12">
        <f>IF(M$4="","",'Contracts Y1'!I15)</f>
        <v/>
      </c>
      <c r="N7" s="12">
        <f>IF(N$4="","",'Contracts Y1'!I16)</f>
        <v/>
      </c>
      <c r="O7" s="12">
        <f>IF(O$4="","",'Contracts Y1'!I17)</f>
        <v/>
      </c>
      <c r="P7" s="12">
        <f>IF(P$4="","",'Contracts Y1'!I18)</f>
        <v/>
      </c>
      <c r="Q7" s="12">
        <f>IF(Q$4="","",'Contracts Y1'!I19)</f>
        <v/>
      </c>
      <c r="R7" s="12">
        <f>IF(R$4="","",'Contracts Y1'!I20)</f>
        <v/>
      </c>
      <c r="S7" s="12">
        <f>IF(S$4="","",'Contracts Y1'!I21)</f>
        <v/>
      </c>
      <c r="T7" s="12">
        <f>IF(T$4="","",'Contracts Y1'!I22)</f>
        <v/>
      </c>
      <c r="U7" s="12">
        <f>IF(U$4="","",'Contracts Y1'!I23)</f>
        <v/>
      </c>
      <c r="V7" s="12">
        <f>IF(V$4="","",'Contracts Y1'!I24)</f>
        <v/>
      </c>
      <c r="W7" s="12">
        <f>IF(W$4="","",'Contracts Y1'!I25)</f>
        <v/>
      </c>
      <c r="X7" s="12">
        <f>IF(X$4="","",'Contracts Y1'!I26)</f>
        <v/>
      </c>
      <c r="Y7" s="12">
        <f>IF(Y$4="","",'Contracts Y1'!I27)</f>
        <v/>
      </c>
      <c r="Z7" s="12">
        <f>IF(Z$4="","",'Contracts Y1'!I28)</f>
        <v/>
      </c>
      <c r="AA7" s="12">
        <f>IF(AA$4="","",'Contracts Y1'!I29)</f>
        <v/>
      </c>
      <c r="AB7" s="12">
        <f>IF(AB$4="","",'Contracts Y1'!I30)</f>
        <v/>
      </c>
      <c r="AC7" s="12">
        <f>IF(AC$4="","",'Contracts Y1'!I31)</f>
        <v/>
      </c>
      <c r="AD7" s="12">
        <f>IF(AD$4="","",'Contracts Y1'!I32)</f>
        <v/>
      </c>
      <c r="AE7" s="12">
        <f>IF(AE$4="","",'Contracts Y1'!I33)</f>
        <v/>
      </c>
      <c r="AF7" s="12">
        <f>IF(AF$4="","",'Contracts Y1'!I34)</f>
        <v/>
      </c>
    </row>
    <row r="8">
      <c r="A8" s="4" t="inlineStr">
        <is>
          <t>Less production wages</t>
        </is>
      </c>
      <c r="B8" s="12">
        <f>SUM('Contracts Y1'!J$5:J$34)</f>
        <v/>
      </c>
      <c r="C8" s="12">
        <f>IF(C$4="","",'Contracts Y1'!J5)</f>
        <v/>
      </c>
      <c r="D8" s="12">
        <f>IF(D$4="","",'Contracts Y1'!J6)</f>
        <v/>
      </c>
      <c r="E8" s="12">
        <f>IF(E$4="","",'Contracts Y1'!J7)</f>
        <v/>
      </c>
      <c r="F8" s="12">
        <f>IF(F$4="","",'Contracts Y1'!J8)</f>
        <v/>
      </c>
      <c r="G8" s="12">
        <f>IF(G$4="","",'Contracts Y1'!J9)</f>
        <v/>
      </c>
      <c r="H8" s="12">
        <f>IF(H$4="","",'Contracts Y1'!J10)</f>
        <v/>
      </c>
      <c r="I8" s="12">
        <f>IF(I$4="","",'Contracts Y1'!J11)</f>
        <v/>
      </c>
      <c r="J8" s="12">
        <f>IF(J$4="","",'Contracts Y1'!J12)</f>
        <v/>
      </c>
      <c r="K8" s="12">
        <f>IF(K$4="","",'Contracts Y1'!J13)</f>
        <v/>
      </c>
      <c r="L8" s="12">
        <f>IF(L$4="","",'Contracts Y1'!J14)</f>
        <v/>
      </c>
      <c r="M8" s="12">
        <f>IF(M$4="","",'Contracts Y1'!J15)</f>
        <v/>
      </c>
      <c r="N8" s="12">
        <f>IF(N$4="","",'Contracts Y1'!J16)</f>
        <v/>
      </c>
      <c r="O8" s="12">
        <f>IF(O$4="","",'Contracts Y1'!J17)</f>
        <v/>
      </c>
      <c r="P8" s="12">
        <f>IF(P$4="","",'Contracts Y1'!J18)</f>
        <v/>
      </c>
      <c r="Q8" s="12">
        <f>IF(Q$4="","",'Contracts Y1'!J19)</f>
        <v/>
      </c>
      <c r="R8" s="12">
        <f>IF(R$4="","",'Contracts Y1'!J20)</f>
        <v/>
      </c>
      <c r="S8" s="12">
        <f>IF(S$4="","",'Contracts Y1'!J21)</f>
        <v/>
      </c>
      <c r="T8" s="12">
        <f>IF(T$4="","",'Contracts Y1'!J22)</f>
        <v/>
      </c>
      <c r="U8" s="12">
        <f>IF(U$4="","",'Contracts Y1'!J23)</f>
        <v/>
      </c>
      <c r="V8" s="12">
        <f>IF(V$4="","",'Contracts Y1'!J24)</f>
        <v/>
      </c>
      <c r="W8" s="12">
        <f>IF(W$4="","",'Contracts Y1'!J25)</f>
        <v/>
      </c>
      <c r="X8" s="12">
        <f>IF(X$4="","",'Contracts Y1'!J26)</f>
        <v/>
      </c>
      <c r="Y8" s="12">
        <f>IF(Y$4="","",'Contracts Y1'!J27)</f>
        <v/>
      </c>
      <c r="Z8" s="12">
        <f>IF(Z$4="","",'Contracts Y1'!J28)</f>
        <v/>
      </c>
      <c r="AA8" s="12">
        <f>IF(AA$4="","",'Contracts Y1'!J29)</f>
        <v/>
      </c>
      <c r="AB8" s="12">
        <f>IF(AB$4="","",'Contracts Y1'!J30)</f>
        <v/>
      </c>
      <c r="AC8" s="12">
        <f>IF(AC$4="","",'Contracts Y1'!J31)</f>
        <v/>
      </c>
      <c r="AD8" s="12">
        <f>IF(AD$4="","",'Contracts Y1'!J32)</f>
        <v/>
      </c>
      <c r="AE8" s="12">
        <f>IF(AE$4="","",'Contracts Y1'!J33)</f>
        <v/>
      </c>
      <c r="AF8" s="12">
        <f>IF(AF$4="","",'Contracts Y1'!J34)</f>
        <v/>
      </c>
    </row>
    <row r="9">
      <c r="A9" s="4" t="inlineStr">
        <is>
          <t>Less other direct contract expenses</t>
        </is>
      </c>
      <c r="B9" s="12">
        <f>SUM('Contracts Y1'!K$5:K$34)</f>
        <v/>
      </c>
      <c r="C9" s="12">
        <f>IF(C$4="","",N('Contracts Y1'!K5))</f>
        <v/>
      </c>
      <c r="D9" s="12">
        <f>IF(D$4="","",N('Contracts Y1'!K6))</f>
        <v/>
      </c>
      <c r="E9" s="12">
        <f>IF(E$4="","",N('Contracts Y1'!K7))</f>
        <v/>
      </c>
      <c r="F9" s="12">
        <f>IF(F$4="","",N('Contracts Y1'!K8))</f>
        <v/>
      </c>
      <c r="G9" s="12">
        <f>IF(G$4="","",N('Contracts Y1'!K9))</f>
        <v/>
      </c>
      <c r="H9" s="12">
        <f>IF(H$4="","",N('Contracts Y1'!K10))</f>
        <v/>
      </c>
      <c r="I9" s="12">
        <f>IF(I$4="","",N('Contracts Y1'!K11))</f>
        <v/>
      </c>
      <c r="J9" s="12">
        <f>IF(J$4="","",N('Contracts Y1'!K12))</f>
        <v/>
      </c>
      <c r="K9" s="12">
        <f>IF(K$4="","",N('Contracts Y1'!K13))</f>
        <v/>
      </c>
      <c r="L9" s="12">
        <f>IF(L$4="","",N('Contracts Y1'!K14))</f>
        <v/>
      </c>
      <c r="M9" s="12">
        <f>IF(M$4="","",N('Contracts Y1'!K15))</f>
        <v/>
      </c>
      <c r="N9" s="12">
        <f>IF(N$4="","",N('Contracts Y1'!K16))</f>
        <v/>
      </c>
      <c r="O9" s="12">
        <f>IF(O$4="","",N('Contracts Y1'!K17))</f>
        <v/>
      </c>
      <c r="P9" s="12">
        <f>IF(P$4="","",N('Contracts Y1'!K18))</f>
        <v/>
      </c>
      <c r="Q9" s="12">
        <f>IF(Q$4="","",N('Contracts Y1'!K19))</f>
        <v/>
      </c>
      <c r="R9" s="12">
        <f>IF(R$4="","",N('Contracts Y1'!K20))</f>
        <v/>
      </c>
      <c r="S9" s="12">
        <f>IF(S$4="","",N('Contracts Y1'!K21))</f>
        <v/>
      </c>
      <c r="T9" s="12">
        <f>IF(T$4="","",N('Contracts Y1'!K22))</f>
        <v/>
      </c>
      <c r="U9" s="12">
        <f>IF(U$4="","",N('Contracts Y1'!K23))</f>
        <v/>
      </c>
      <c r="V9" s="12">
        <f>IF(V$4="","",N('Contracts Y1'!K24))</f>
        <v/>
      </c>
      <c r="W9" s="12">
        <f>IF(W$4="","",N('Contracts Y1'!K25))</f>
        <v/>
      </c>
      <c r="X9" s="12">
        <f>IF(X$4="","",N('Contracts Y1'!K26))</f>
        <v/>
      </c>
      <c r="Y9" s="12">
        <f>IF(Y$4="","",N('Contracts Y1'!K27))</f>
        <v/>
      </c>
      <c r="Z9" s="12">
        <f>IF(Z$4="","",N('Contracts Y1'!K28))</f>
        <v/>
      </c>
      <c r="AA9" s="12">
        <f>IF(AA$4="","",N('Contracts Y1'!K29))</f>
        <v/>
      </c>
      <c r="AB9" s="12">
        <f>IF(AB$4="","",N('Contracts Y1'!K30))</f>
        <v/>
      </c>
      <c r="AC9" s="12">
        <f>IF(AC$4="","",N('Contracts Y1'!K31))</f>
        <v/>
      </c>
      <c r="AD9" s="12">
        <f>IF(AD$4="","",N('Contracts Y1'!K32))</f>
        <v/>
      </c>
      <c r="AE9" s="12">
        <f>IF(AE$4="","",N('Contracts Y1'!K33))</f>
        <v/>
      </c>
      <c r="AF9" s="12">
        <f>IF(AF$4="","",N('Contracts Y1'!K34))</f>
        <v/>
      </c>
    </row>
    <row r="10">
      <c r="A10" s="3" t="inlineStr">
        <is>
          <t>Contribution margin</t>
        </is>
      </c>
      <c r="B10" s="10">
        <f>B6-B7-B8-B9</f>
        <v/>
      </c>
      <c r="C10" s="10">
        <f>IF(C$4="","",C6-C7-C8-C9)</f>
        <v/>
      </c>
      <c r="D10" s="10">
        <f>IF(D$4="","",D6-D7-D8-D9)</f>
        <v/>
      </c>
      <c r="E10" s="10">
        <f>IF(E$4="","",E6-E7-E8-E9)</f>
        <v/>
      </c>
      <c r="F10" s="10">
        <f>IF(F$4="","",F6-F7-F8-F9)</f>
        <v/>
      </c>
      <c r="G10" s="10">
        <f>IF(G$4="","",G6-G7-G8-G9)</f>
        <v/>
      </c>
      <c r="H10" s="10">
        <f>IF(H$4="","",H6-H7-H8-H9)</f>
        <v/>
      </c>
      <c r="I10" s="10">
        <f>IF(I$4="","",I6-I7-I8-I9)</f>
        <v/>
      </c>
      <c r="J10" s="10">
        <f>IF(J$4="","",J6-J7-J8-J9)</f>
        <v/>
      </c>
      <c r="K10" s="10">
        <f>IF(K$4="","",K6-K7-K8-K9)</f>
        <v/>
      </c>
      <c r="L10" s="10">
        <f>IF(L$4="","",L6-L7-L8-L9)</f>
        <v/>
      </c>
      <c r="M10" s="10">
        <f>IF(M$4="","",M6-M7-M8-M9)</f>
        <v/>
      </c>
      <c r="N10" s="10">
        <f>IF(N$4="","",N6-N7-N8-N9)</f>
        <v/>
      </c>
      <c r="O10" s="10">
        <f>IF(O$4="","",O6-O7-O8-O9)</f>
        <v/>
      </c>
      <c r="P10" s="10">
        <f>IF(P$4="","",P6-P7-P8-P9)</f>
        <v/>
      </c>
      <c r="Q10" s="10">
        <f>IF(Q$4="","",Q6-Q7-Q8-Q9)</f>
        <v/>
      </c>
      <c r="R10" s="10">
        <f>IF(R$4="","",R6-R7-R8-R9)</f>
        <v/>
      </c>
      <c r="S10" s="10">
        <f>IF(S$4="","",S6-S7-S8-S9)</f>
        <v/>
      </c>
      <c r="T10" s="10">
        <f>IF(T$4="","",T6-T7-T8-T9)</f>
        <v/>
      </c>
      <c r="U10" s="10">
        <f>IF(U$4="","",U6-U7-U8-U9)</f>
        <v/>
      </c>
      <c r="V10" s="10">
        <f>IF(V$4="","",V6-V7-V8-V9)</f>
        <v/>
      </c>
      <c r="W10" s="10">
        <f>IF(W$4="","",W6-W7-W8-W9)</f>
        <v/>
      </c>
      <c r="X10" s="10">
        <f>IF(X$4="","",X6-X7-X8-X9)</f>
        <v/>
      </c>
      <c r="Y10" s="10">
        <f>IF(Y$4="","",Y6-Y7-Y8-Y9)</f>
        <v/>
      </c>
      <c r="Z10" s="10">
        <f>IF(Z$4="","",Z6-Z7-Z8-Z9)</f>
        <v/>
      </c>
      <c r="AA10" s="10">
        <f>IF(AA$4="","",AA6-AA7-AA8-AA9)</f>
        <v/>
      </c>
      <c r="AB10" s="10">
        <f>IF(AB$4="","",AB6-AB7-AB8-AB9)</f>
        <v/>
      </c>
      <c r="AC10" s="10">
        <f>IF(AC$4="","",AC6-AC7-AC8-AC9)</f>
        <v/>
      </c>
      <c r="AD10" s="10">
        <f>IF(AD$4="","",AD6-AD7-AD8-AD9)</f>
        <v/>
      </c>
      <c r="AE10" s="10">
        <f>IF(AE$4="","",AE6-AE7-AE8-AE9)</f>
        <v/>
      </c>
      <c r="AF10" s="10">
        <f>IF(AF$4="","",AF6-AF7-AF8-AF9)</f>
        <v/>
      </c>
    </row>
    <row r="11">
      <c r="A11" s="4" t="inlineStr">
        <is>
          <t>Less fixed operating expenses</t>
        </is>
      </c>
      <c r="B11" s="12">
        <f>FixedTotal</f>
        <v/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</row>
    <row r="12">
      <c r="A12" s="3" t="inlineStr">
        <is>
          <t>Operating profit</t>
        </is>
      </c>
      <c r="B12" s="10">
        <f>B10-B11</f>
        <v/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>
      <c r="A13" s="4" t="inlineStr">
        <is>
          <t>CM %</t>
        </is>
      </c>
      <c r="B13" s="15">
        <f>IF(B6=0,"",B10/B6)</f>
        <v/>
      </c>
      <c r="C13" s="15">
        <f>IF(N(C6)=0,"",C10/C6)</f>
        <v/>
      </c>
      <c r="D13" s="15">
        <f>IF(N(D6)=0,"",D10/D6)</f>
        <v/>
      </c>
      <c r="E13" s="15">
        <f>IF(N(E6)=0,"",E10/E6)</f>
        <v/>
      </c>
      <c r="F13" s="15">
        <f>IF(N(F6)=0,"",F10/F6)</f>
        <v/>
      </c>
      <c r="G13" s="15">
        <f>IF(N(G6)=0,"",G10/G6)</f>
        <v/>
      </c>
      <c r="H13" s="15">
        <f>IF(N(H6)=0,"",H10/H6)</f>
        <v/>
      </c>
      <c r="I13" s="15">
        <f>IF(N(I6)=0,"",I10/I6)</f>
        <v/>
      </c>
      <c r="J13" s="15">
        <f>IF(N(J6)=0,"",J10/J6)</f>
        <v/>
      </c>
      <c r="K13" s="15">
        <f>IF(N(K6)=0,"",K10/K6)</f>
        <v/>
      </c>
      <c r="L13" s="15">
        <f>IF(N(L6)=0,"",L10/L6)</f>
        <v/>
      </c>
      <c r="M13" s="15">
        <f>IF(N(M6)=0,"",M10/M6)</f>
        <v/>
      </c>
      <c r="N13" s="15">
        <f>IF(N(N6)=0,"",N10/N6)</f>
        <v/>
      </c>
      <c r="O13" s="15">
        <f>IF(N(O6)=0,"",O10/O6)</f>
        <v/>
      </c>
      <c r="P13" s="15">
        <f>IF(N(P6)=0,"",P10/P6)</f>
        <v/>
      </c>
      <c r="Q13" s="15">
        <f>IF(N(Q6)=0,"",Q10/Q6)</f>
        <v/>
      </c>
      <c r="R13" s="15">
        <f>IF(N(R6)=0,"",R10/R6)</f>
        <v/>
      </c>
      <c r="S13" s="15">
        <f>IF(N(S6)=0,"",S10/S6)</f>
        <v/>
      </c>
      <c r="T13" s="15">
        <f>IF(N(T6)=0,"",T10/T6)</f>
        <v/>
      </c>
      <c r="U13" s="15">
        <f>IF(N(U6)=0,"",U10/U6)</f>
        <v/>
      </c>
      <c r="V13" s="15">
        <f>IF(N(V6)=0,"",V10/V6)</f>
        <v/>
      </c>
      <c r="W13" s="15">
        <f>IF(N(W6)=0,"",W10/W6)</f>
        <v/>
      </c>
      <c r="X13" s="15">
        <f>IF(N(X6)=0,"",X10/X6)</f>
        <v/>
      </c>
      <c r="Y13" s="15">
        <f>IF(N(Y6)=0,"",Y10/Y6)</f>
        <v/>
      </c>
      <c r="Z13" s="15">
        <f>IF(N(Z6)=0,"",Z10/Z6)</f>
        <v/>
      </c>
      <c r="AA13" s="15">
        <f>IF(N(AA6)=0,"",AA10/AA6)</f>
        <v/>
      </c>
      <c r="AB13" s="15">
        <f>IF(N(AB6)=0,"",AB10/AB6)</f>
        <v/>
      </c>
      <c r="AC13" s="15">
        <f>IF(N(AC6)=0,"",AC10/AC6)</f>
        <v/>
      </c>
      <c r="AD13" s="15">
        <f>IF(N(AD6)=0,"",AD10/AD6)</f>
        <v/>
      </c>
      <c r="AE13" s="15">
        <f>IF(N(AE6)=0,"",AE10/AE6)</f>
        <v/>
      </c>
      <c r="AF13" s="15">
        <f>IF(N(AF6)=0,"",AF10/AF6)</f>
        <v/>
      </c>
    </row>
    <row r="14">
      <c r="A14" s="4" t="inlineStr">
        <is>
          <t>Operating margin %</t>
        </is>
      </c>
      <c r="B14" s="15">
        <f>IF(B6=0,"",B12/B6)</f>
        <v/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4" t="inlineStr">
        <is>
          <t>Share of market (revenue / market size)</t>
        </is>
      </c>
      <c r="B15" s="15">
        <f>IF(N(Inputs!$B$31)=0,"",B6/Inputs!$B$31)</f>
        <v/>
      </c>
      <c r="C15" s="15">
        <f>IF(OR(C$4="",N(Inputs!$B$31)=0),"",C6/Inputs!$B$31)</f>
        <v/>
      </c>
      <c r="D15" s="15">
        <f>IF(OR(D$4="",N(Inputs!$B$31)=0),"",D6/Inputs!$B$31)</f>
        <v/>
      </c>
      <c r="E15" s="15">
        <f>IF(OR(E$4="",N(Inputs!$B$31)=0),"",E6/Inputs!$B$31)</f>
        <v/>
      </c>
      <c r="F15" s="15">
        <f>IF(OR(F$4="",N(Inputs!$B$31)=0),"",F6/Inputs!$B$31)</f>
        <v/>
      </c>
      <c r="G15" s="15">
        <f>IF(OR(G$4="",N(Inputs!$B$31)=0),"",G6/Inputs!$B$31)</f>
        <v/>
      </c>
      <c r="H15" s="15">
        <f>IF(OR(H$4="",N(Inputs!$B$31)=0),"",H6/Inputs!$B$31)</f>
        <v/>
      </c>
      <c r="I15" s="15">
        <f>IF(OR(I$4="",N(Inputs!$B$31)=0),"",I6/Inputs!$B$31)</f>
        <v/>
      </c>
      <c r="J15" s="15">
        <f>IF(OR(J$4="",N(Inputs!$B$31)=0),"",J6/Inputs!$B$31)</f>
        <v/>
      </c>
      <c r="K15" s="15">
        <f>IF(OR(K$4="",N(Inputs!$B$31)=0),"",K6/Inputs!$B$31)</f>
        <v/>
      </c>
      <c r="L15" s="15">
        <f>IF(OR(L$4="",N(Inputs!$B$31)=0),"",L6/Inputs!$B$31)</f>
        <v/>
      </c>
      <c r="M15" s="15">
        <f>IF(OR(M$4="",N(Inputs!$B$31)=0),"",M6/Inputs!$B$31)</f>
        <v/>
      </c>
      <c r="N15" s="15">
        <f>IF(OR(N$4="",N(Inputs!$B$31)=0),"",N6/Inputs!$B$31)</f>
        <v/>
      </c>
      <c r="O15" s="15">
        <f>IF(OR(O$4="",N(Inputs!$B$31)=0),"",O6/Inputs!$B$31)</f>
        <v/>
      </c>
      <c r="P15" s="15">
        <f>IF(OR(P$4="",N(Inputs!$B$31)=0),"",P6/Inputs!$B$31)</f>
        <v/>
      </c>
      <c r="Q15" s="15">
        <f>IF(OR(Q$4="",N(Inputs!$B$31)=0),"",Q6/Inputs!$B$31)</f>
        <v/>
      </c>
      <c r="R15" s="15">
        <f>IF(OR(R$4="",N(Inputs!$B$31)=0),"",R6/Inputs!$B$31)</f>
        <v/>
      </c>
      <c r="S15" s="15">
        <f>IF(OR(S$4="",N(Inputs!$B$31)=0),"",S6/Inputs!$B$31)</f>
        <v/>
      </c>
      <c r="T15" s="15">
        <f>IF(OR(T$4="",N(Inputs!$B$31)=0),"",T6/Inputs!$B$31)</f>
        <v/>
      </c>
      <c r="U15" s="15">
        <f>IF(OR(U$4="",N(Inputs!$B$31)=0),"",U6/Inputs!$B$31)</f>
        <v/>
      </c>
      <c r="V15" s="15">
        <f>IF(OR(V$4="",N(Inputs!$B$31)=0),"",V6/Inputs!$B$31)</f>
        <v/>
      </c>
      <c r="W15" s="15">
        <f>IF(OR(W$4="",N(Inputs!$B$31)=0),"",W6/Inputs!$B$31)</f>
        <v/>
      </c>
      <c r="X15" s="15">
        <f>IF(OR(X$4="",N(Inputs!$B$31)=0),"",X6/Inputs!$B$31)</f>
        <v/>
      </c>
      <c r="Y15" s="15">
        <f>IF(OR(Y$4="",N(Inputs!$B$31)=0),"",Y6/Inputs!$B$31)</f>
        <v/>
      </c>
      <c r="Z15" s="15">
        <f>IF(OR(Z$4="",N(Inputs!$B$31)=0),"",Z6/Inputs!$B$31)</f>
        <v/>
      </c>
      <c r="AA15" s="15">
        <f>IF(OR(AA$4="",N(Inputs!$B$31)=0),"",AA6/Inputs!$B$31)</f>
        <v/>
      </c>
      <c r="AB15" s="15">
        <f>IF(OR(AB$4="",N(Inputs!$B$31)=0),"",AB6/Inputs!$B$31)</f>
        <v/>
      </c>
      <c r="AC15" s="15">
        <f>IF(OR(AC$4="",N(Inputs!$B$31)=0),"",AC6/Inputs!$B$31)</f>
        <v/>
      </c>
      <c r="AD15" s="15">
        <f>IF(OR(AD$4="",N(Inputs!$B$31)=0),"",AD6/Inputs!$B$31)</f>
        <v/>
      </c>
      <c r="AE15" s="15">
        <f>IF(OR(AE$4="",N(Inputs!$B$31)=0),"",AE6/Inputs!$B$31)</f>
        <v/>
      </c>
      <c r="AF15" s="15">
        <f>IF(OR(AF$4="",N(Inputs!$B$31)=0),"",AF6/Inputs!$B$31)</f>
        <v/>
      </c>
    </row>
    <row r="17">
      <c r="A17" s="2" t="inlineStr">
        <is>
          <t>Fixed expenses, operating profit and operating margin are reported for the year only, not per contract.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O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2" customWidth="1" min="5" max="5"/>
    <col width="11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4" customWidth="1" min="12" max="12"/>
    <col width="9" customWidth="1" min="13" max="13"/>
    <col width="15" customWidth="1" min="14" max="14"/>
    <col width="13" customWidth="1" min="15" max="15"/>
  </cols>
  <sheetData>
    <row r="1">
      <c r="A1" s="1" t="inlineStr">
        <is>
          <t>Year 2 contracts won</t>
        </is>
      </c>
    </row>
    <row r="2">
      <c r="A2" s="2" t="inlineStr">
        <is>
          <t>Type Contract ID, Spec, Accepted qty and Price (blue cells) in any empty row; every other column calculates. Each contract is its own purchase order.</t>
        </is>
      </c>
    </row>
    <row r="3">
      <c r="A3" s="2" t="inlineStr">
        <is>
          <t>Orange price = outside the case price range (Inputs B8:B9). Other direct defaults to 0.</t>
        </is>
      </c>
    </row>
    <row r="4" ht="42" customHeight="1">
      <c r="A4" s="8" t="inlineStr">
        <is>
          <t>Contract ID</t>
        </is>
      </c>
      <c r="B4" s="8" t="inlineStr">
        <is>
          <t>Spec</t>
        </is>
      </c>
      <c r="C4" s="8" t="inlineStr">
        <is>
          <t>Accepted qty (BB)</t>
        </is>
      </c>
      <c r="D4" s="8" t="inlineStr">
        <is>
          <t>Price per BB ($)</t>
        </is>
      </c>
      <c r="E4" s="8" t="inlineStr">
        <is>
          <t>Production qty (BB)</t>
        </is>
      </c>
      <c r="F4" s="8" t="inlineStr">
        <is>
          <t>Rejected qty (BB)</t>
        </is>
      </c>
      <c r="G4" s="8" t="inlineStr">
        <is>
          <t>RM price per BB ($)</t>
        </is>
      </c>
      <c r="H4" s="8" t="inlineStr">
        <is>
          <t>Revenue ($)</t>
        </is>
      </c>
      <c r="I4" s="8" t="inlineStr">
        <is>
          <t>Raw materials ($)</t>
        </is>
      </c>
      <c r="J4" s="8" t="inlineStr">
        <is>
          <t>Wages ($)</t>
        </is>
      </c>
      <c r="K4" s="8" t="inlineStr">
        <is>
          <t>Other direct ($)</t>
        </is>
      </c>
      <c r="L4" s="8" t="inlineStr">
        <is>
          <t>Contribution margin ($)</t>
        </is>
      </c>
      <c r="M4" s="8" t="inlineStr">
        <is>
          <t>CM %</t>
        </is>
      </c>
      <c r="N4" s="8" t="inlineStr">
        <is>
          <t>Break-even price per accepted BB ($)</t>
        </is>
      </c>
      <c r="O4" s="8" t="inlineStr">
        <is>
          <t>Price vs break-even ($)</t>
        </is>
      </c>
    </row>
    <row r="5">
      <c r="A5" s="18" t="n"/>
      <c r="B5" s="18" t="n"/>
      <c r="C5" s="19" t="n"/>
      <c r="D5" s="20" t="n"/>
      <c r="E5" s="21">
        <f>IF($A5="","",ROUNDUP(C5/(1-RejRate),0))</f>
        <v/>
      </c>
      <c r="F5" s="21">
        <f>IF($A5="","",E5-C5)</f>
        <v/>
      </c>
      <c r="G5" s="22">
        <f>IF($A5="","",IF(B5="Gold",GoldPrice,INDEX(TierPrices,MATCH(E5,TierQty,1),MATCH(B5,TierSpecs,0))))</f>
        <v/>
      </c>
      <c r="H5" s="22">
        <f>IF($A5="","",C5*D5)</f>
        <v/>
      </c>
      <c r="I5" s="22">
        <f>IF($A5="","",E5*G5)</f>
        <v/>
      </c>
      <c r="J5" s="22">
        <f>IF($A5="","",I5*WageCoef)</f>
        <v/>
      </c>
      <c r="K5" s="20" t="n"/>
      <c r="L5" s="22">
        <f>IF($A5="","",H5-I5-J5-N(K5))</f>
        <v/>
      </c>
      <c r="M5" s="23">
        <f>IF(OR($A5="",N(H5)=0),"",L5/H5)</f>
        <v/>
      </c>
      <c r="N5" s="22">
        <f>IF(OR($A5="",N(C5)=0),"",(E5*G5*(1+WageCoef)+N(K5))/C5)</f>
        <v/>
      </c>
      <c r="O5" s="22">
        <f>IF(OR($A5="",N5=""),"",D5-N5)</f>
        <v/>
      </c>
    </row>
    <row r="6">
      <c r="A6" s="18" t="n"/>
      <c r="B6" s="18" t="n"/>
      <c r="C6" s="19" t="n"/>
      <c r="D6" s="20" t="n"/>
      <c r="E6" s="21">
        <f>IF($A6="","",ROUNDUP(C6/(1-RejRate),0))</f>
        <v/>
      </c>
      <c r="F6" s="21">
        <f>IF($A6="","",E6-C6)</f>
        <v/>
      </c>
      <c r="G6" s="22">
        <f>IF($A6="","",IF(B6="Gold",GoldPrice,INDEX(TierPrices,MATCH(E6,TierQty,1),MATCH(B6,TierSpecs,0))))</f>
        <v/>
      </c>
      <c r="H6" s="22">
        <f>IF($A6="","",C6*D6)</f>
        <v/>
      </c>
      <c r="I6" s="22">
        <f>IF($A6="","",E6*G6)</f>
        <v/>
      </c>
      <c r="J6" s="22">
        <f>IF($A6="","",I6*WageCoef)</f>
        <v/>
      </c>
      <c r="K6" s="20" t="n"/>
      <c r="L6" s="22">
        <f>IF($A6="","",H6-I6-J6-N(K6))</f>
        <v/>
      </c>
      <c r="M6" s="23">
        <f>IF(OR($A6="",N(H6)=0),"",L6/H6)</f>
        <v/>
      </c>
      <c r="N6" s="22">
        <f>IF(OR($A6="",N(C6)=0),"",(E6*G6*(1+WageCoef)+N(K6))/C6)</f>
        <v/>
      </c>
      <c r="O6" s="22">
        <f>IF(OR($A6="",N6=""),"",D6-N6)</f>
        <v/>
      </c>
    </row>
    <row r="7">
      <c r="A7" s="18" t="n"/>
      <c r="B7" s="18" t="n"/>
      <c r="C7" s="19" t="n"/>
      <c r="D7" s="20" t="n"/>
      <c r="E7" s="21">
        <f>IF($A7="","",ROUNDUP(C7/(1-RejRate),0))</f>
        <v/>
      </c>
      <c r="F7" s="21">
        <f>IF($A7="","",E7-C7)</f>
        <v/>
      </c>
      <c r="G7" s="22">
        <f>IF($A7="","",IF(B7="Gold",GoldPrice,INDEX(TierPrices,MATCH(E7,TierQty,1),MATCH(B7,TierSpecs,0))))</f>
        <v/>
      </c>
      <c r="H7" s="22">
        <f>IF($A7="","",C7*D7)</f>
        <v/>
      </c>
      <c r="I7" s="22">
        <f>IF($A7="","",E7*G7)</f>
        <v/>
      </c>
      <c r="J7" s="22">
        <f>IF($A7="","",I7*WageCoef)</f>
        <v/>
      </c>
      <c r="K7" s="20" t="n"/>
      <c r="L7" s="22">
        <f>IF($A7="","",H7-I7-J7-N(K7))</f>
        <v/>
      </c>
      <c r="M7" s="23">
        <f>IF(OR($A7="",N(H7)=0),"",L7/H7)</f>
        <v/>
      </c>
      <c r="N7" s="22">
        <f>IF(OR($A7="",N(C7)=0),"",(E7*G7*(1+WageCoef)+N(K7))/C7)</f>
        <v/>
      </c>
      <c r="O7" s="22">
        <f>IF(OR($A7="",N7=""),"",D7-N7)</f>
        <v/>
      </c>
    </row>
    <row r="8">
      <c r="A8" s="18" t="n"/>
      <c r="B8" s="18" t="n"/>
      <c r="C8" s="19" t="n"/>
      <c r="D8" s="20" t="n"/>
      <c r="E8" s="21">
        <f>IF($A8="","",ROUNDUP(C8/(1-RejRate),0))</f>
        <v/>
      </c>
      <c r="F8" s="21">
        <f>IF($A8="","",E8-C8)</f>
        <v/>
      </c>
      <c r="G8" s="22">
        <f>IF($A8="","",IF(B8="Gold",GoldPrice,INDEX(TierPrices,MATCH(E8,TierQty,1),MATCH(B8,TierSpecs,0))))</f>
        <v/>
      </c>
      <c r="H8" s="22">
        <f>IF($A8="","",C8*D8)</f>
        <v/>
      </c>
      <c r="I8" s="22">
        <f>IF($A8="","",E8*G8)</f>
        <v/>
      </c>
      <c r="J8" s="22">
        <f>IF($A8="","",I8*WageCoef)</f>
        <v/>
      </c>
      <c r="K8" s="20" t="n"/>
      <c r="L8" s="22">
        <f>IF($A8="","",H8-I8-J8-N(K8))</f>
        <v/>
      </c>
      <c r="M8" s="23">
        <f>IF(OR($A8="",N(H8)=0),"",L8/H8)</f>
        <v/>
      </c>
      <c r="N8" s="22">
        <f>IF(OR($A8="",N(C8)=0),"",(E8*G8*(1+WageCoef)+N(K8))/C8)</f>
        <v/>
      </c>
      <c r="O8" s="22">
        <f>IF(OR($A8="",N8=""),"",D8-N8)</f>
        <v/>
      </c>
    </row>
    <row r="9">
      <c r="A9" s="18" t="n"/>
      <c r="B9" s="18" t="n"/>
      <c r="C9" s="19" t="n"/>
      <c r="D9" s="20" t="n"/>
      <c r="E9" s="21">
        <f>IF($A9="","",ROUNDUP(C9/(1-RejRate),0))</f>
        <v/>
      </c>
      <c r="F9" s="21">
        <f>IF($A9="","",E9-C9)</f>
        <v/>
      </c>
      <c r="G9" s="22">
        <f>IF($A9="","",IF(B9="Gold",GoldPrice,INDEX(TierPrices,MATCH(E9,TierQty,1),MATCH(B9,TierSpecs,0))))</f>
        <v/>
      </c>
      <c r="H9" s="22">
        <f>IF($A9="","",C9*D9)</f>
        <v/>
      </c>
      <c r="I9" s="22">
        <f>IF($A9="","",E9*G9)</f>
        <v/>
      </c>
      <c r="J9" s="22">
        <f>IF($A9="","",I9*WageCoef)</f>
        <v/>
      </c>
      <c r="K9" s="20" t="n"/>
      <c r="L9" s="22">
        <f>IF($A9="","",H9-I9-J9-N(K9))</f>
        <v/>
      </c>
      <c r="M9" s="23">
        <f>IF(OR($A9="",N(H9)=0),"",L9/H9)</f>
        <v/>
      </c>
      <c r="N9" s="22">
        <f>IF(OR($A9="",N(C9)=0),"",(E9*G9*(1+WageCoef)+N(K9))/C9)</f>
        <v/>
      </c>
      <c r="O9" s="22">
        <f>IF(OR($A9="",N9=""),"",D9-N9)</f>
        <v/>
      </c>
    </row>
    <row r="10">
      <c r="A10" s="18" t="n"/>
      <c r="B10" s="18" t="n"/>
      <c r="C10" s="19" t="n"/>
      <c r="D10" s="20" t="n"/>
      <c r="E10" s="21">
        <f>IF($A10="","",ROUNDUP(C10/(1-RejRate),0))</f>
        <v/>
      </c>
      <c r="F10" s="21">
        <f>IF($A10="","",E10-C10)</f>
        <v/>
      </c>
      <c r="G10" s="22">
        <f>IF($A10="","",IF(B10="Gold",GoldPrice,INDEX(TierPrices,MATCH(E10,TierQty,1),MATCH(B10,TierSpecs,0))))</f>
        <v/>
      </c>
      <c r="H10" s="22">
        <f>IF($A10="","",C10*D10)</f>
        <v/>
      </c>
      <c r="I10" s="22">
        <f>IF($A10="","",E10*G10)</f>
        <v/>
      </c>
      <c r="J10" s="22">
        <f>IF($A10="","",I10*WageCoef)</f>
        <v/>
      </c>
      <c r="K10" s="20" t="n"/>
      <c r="L10" s="22">
        <f>IF($A10="","",H10-I10-J10-N(K10))</f>
        <v/>
      </c>
      <c r="M10" s="23">
        <f>IF(OR($A10="",N(H10)=0),"",L10/H10)</f>
        <v/>
      </c>
      <c r="N10" s="22">
        <f>IF(OR($A10="",N(C10)=0),"",(E10*G10*(1+WageCoef)+N(K10))/C10)</f>
        <v/>
      </c>
      <c r="O10" s="22">
        <f>IF(OR($A10="",N10=""),"",D10-N10)</f>
        <v/>
      </c>
    </row>
    <row r="11">
      <c r="A11" s="18" t="n"/>
      <c r="B11" s="18" t="n"/>
      <c r="C11" s="19" t="n"/>
      <c r="D11" s="20" t="n"/>
      <c r="E11" s="21">
        <f>IF($A11="","",ROUNDUP(C11/(1-RejRate),0))</f>
        <v/>
      </c>
      <c r="F11" s="21">
        <f>IF($A11="","",E11-C11)</f>
        <v/>
      </c>
      <c r="G11" s="22">
        <f>IF($A11="","",IF(B11="Gold",GoldPrice,INDEX(TierPrices,MATCH(E11,TierQty,1),MATCH(B11,TierSpecs,0))))</f>
        <v/>
      </c>
      <c r="H11" s="22">
        <f>IF($A11="","",C11*D11)</f>
        <v/>
      </c>
      <c r="I11" s="22">
        <f>IF($A11="","",E11*G11)</f>
        <v/>
      </c>
      <c r="J11" s="22">
        <f>IF($A11="","",I11*WageCoef)</f>
        <v/>
      </c>
      <c r="K11" s="20" t="n"/>
      <c r="L11" s="22">
        <f>IF($A11="","",H11-I11-J11-N(K11))</f>
        <v/>
      </c>
      <c r="M11" s="23">
        <f>IF(OR($A11="",N(H11)=0),"",L11/H11)</f>
        <v/>
      </c>
      <c r="N11" s="22">
        <f>IF(OR($A11="",N(C11)=0),"",(E11*G11*(1+WageCoef)+N(K11))/C11)</f>
        <v/>
      </c>
      <c r="O11" s="22">
        <f>IF(OR($A11="",N11=""),"",D11-N11)</f>
        <v/>
      </c>
    </row>
    <row r="12">
      <c r="A12" s="18" t="n"/>
      <c r="B12" s="18" t="n"/>
      <c r="C12" s="19" t="n"/>
      <c r="D12" s="20" t="n"/>
      <c r="E12" s="21">
        <f>IF($A12="","",ROUNDUP(C12/(1-RejRate),0))</f>
        <v/>
      </c>
      <c r="F12" s="21">
        <f>IF($A12="","",E12-C12)</f>
        <v/>
      </c>
      <c r="G12" s="22">
        <f>IF($A12="","",IF(B12="Gold",GoldPrice,INDEX(TierPrices,MATCH(E12,TierQty,1),MATCH(B12,TierSpecs,0))))</f>
        <v/>
      </c>
      <c r="H12" s="22">
        <f>IF($A12="","",C12*D12)</f>
        <v/>
      </c>
      <c r="I12" s="22">
        <f>IF($A12="","",E12*G12)</f>
        <v/>
      </c>
      <c r="J12" s="22">
        <f>IF($A12="","",I12*WageCoef)</f>
        <v/>
      </c>
      <c r="K12" s="20" t="n"/>
      <c r="L12" s="22">
        <f>IF($A12="","",H12-I12-J12-N(K12))</f>
        <v/>
      </c>
      <c r="M12" s="23">
        <f>IF(OR($A12="",N(H12)=0),"",L12/H12)</f>
        <v/>
      </c>
      <c r="N12" s="22">
        <f>IF(OR($A12="",N(C12)=0),"",(E12*G12*(1+WageCoef)+N(K12))/C12)</f>
        <v/>
      </c>
      <c r="O12" s="22">
        <f>IF(OR($A12="",N12=""),"",D12-N12)</f>
        <v/>
      </c>
    </row>
    <row r="13">
      <c r="A13" s="18" t="n"/>
      <c r="B13" s="18" t="n"/>
      <c r="C13" s="19" t="n"/>
      <c r="D13" s="20" t="n"/>
      <c r="E13" s="21">
        <f>IF($A13="","",ROUNDUP(C13/(1-RejRate),0))</f>
        <v/>
      </c>
      <c r="F13" s="21">
        <f>IF($A13="","",E13-C13)</f>
        <v/>
      </c>
      <c r="G13" s="22">
        <f>IF($A13="","",IF(B13="Gold",GoldPrice,INDEX(TierPrices,MATCH(E13,TierQty,1),MATCH(B13,TierSpecs,0))))</f>
        <v/>
      </c>
      <c r="H13" s="22">
        <f>IF($A13="","",C13*D13)</f>
        <v/>
      </c>
      <c r="I13" s="22">
        <f>IF($A13="","",E13*G13)</f>
        <v/>
      </c>
      <c r="J13" s="22">
        <f>IF($A13="","",I13*WageCoef)</f>
        <v/>
      </c>
      <c r="K13" s="20" t="n"/>
      <c r="L13" s="22">
        <f>IF($A13="","",H13-I13-J13-N(K13))</f>
        <v/>
      </c>
      <c r="M13" s="23">
        <f>IF(OR($A13="",N(H13)=0),"",L13/H13)</f>
        <v/>
      </c>
      <c r="N13" s="22">
        <f>IF(OR($A13="",N(C13)=0),"",(E13*G13*(1+WageCoef)+N(K13))/C13)</f>
        <v/>
      </c>
      <c r="O13" s="22">
        <f>IF(OR($A13="",N13=""),"",D13-N13)</f>
        <v/>
      </c>
    </row>
    <row r="14">
      <c r="A14" s="18" t="n"/>
      <c r="B14" s="18" t="n"/>
      <c r="C14" s="19" t="n"/>
      <c r="D14" s="20" t="n"/>
      <c r="E14" s="21">
        <f>IF($A14="","",ROUNDUP(C14/(1-RejRate),0))</f>
        <v/>
      </c>
      <c r="F14" s="21">
        <f>IF($A14="","",E14-C14)</f>
        <v/>
      </c>
      <c r="G14" s="22">
        <f>IF($A14="","",IF(B14="Gold",GoldPrice,INDEX(TierPrices,MATCH(E14,TierQty,1),MATCH(B14,TierSpecs,0))))</f>
        <v/>
      </c>
      <c r="H14" s="22">
        <f>IF($A14="","",C14*D14)</f>
        <v/>
      </c>
      <c r="I14" s="22">
        <f>IF($A14="","",E14*G14)</f>
        <v/>
      </c>
      <c r="J14" s="22">
        <f>IF($A14="","",I14*WageCoef)</f>
        <v/>
      </c>
      <c r="K14" s="20" t="n"/>
      <c r="L14" s="22">
        <f>IF($A14="","",H14-I14-J14-N(K14))</f>
        <v/>
      </c>
      <c r="M14" s="23">
        <f>IF(OR($A14="",N(H14)=0),"",L14/H14)</f>
        <v/>
      </c>
      <c r="N14" s="22">
        <f>IF(OR($A14="",N(C14)=0),"",(E14*G14*(1+WageCoef)+N(K14))/C14)</f>
        <v/>
      </c>
      <c r="O14" s="22">
        <f>IF(OR($A14="",N14=""),"",D14-N14)</f>
        <v/>
      </c>
    </row>
    <row r="15">
      <c r="A15" s="18" t="n"/>
      <c r="B15" s="18" t="n"/>
      <c r="C15" s="19" t="n"/>
      <c r="D15" s="20" t="n"/>
      <c r="E15" s="21">
        <f>IF($A15="","",ROUNDUP(C15/(1-RejRate),0))</f>
        <v/>
      </c>
      <c r="F15" s="21">
        <f>IF($A15="","",E15-C15)</f>
        <v/>
      </c>
      <c r="G15" s="22">
        <f>IF($A15="","",IF(B15="Gold",GoldPrice,INDEX(TierPrices,MATCH(E15,TierQty,1),MATCH(B15,TierSpecs,0))))</f>
        <v/>
      </c>
      <c r="H15" s="22">
        <f>IF($A15="","",C15*D15)</f>
        <v/>
      </c>
      <c r="I15" s="22">
        <f>IF($A15="","",E15*G15)</f>
        <v/>
      </c>
      <c r="J15" s="22">
        <f>IF($A15="","",I15*WageCoef)</f>
        <v/>
      </c>
      <c r="K15" s="20" t="n"/>
      <c r="L15" s="22">
        <f>IF($A15="","",H15-I15-J15-N(K15))</f>
        <v/>
      </c>
      <c r="M15" s="23">
        <f>IF(OR($A15="",N(H15)=0),"",L15/H15)</f>
        <v/>
      </c>
      <c r="N15" s="22">
        <f>IF(OR($A15="",N(C15)=0),"",(E15*G15*(1+WageCoef)+N(K15))/C15)</f>
        <v/>
      </c>
      <c r="O15" s="22">
        <f>IF(OR($A15="",N15=""),"",D15-N15)</f>
        <v/>
      </c>
    </row>
    <row r="16">
      <c r="A16" s="18" t="n"/>
      <c r="B16" s="18" t="n"/>
      <c r="C16" s="19" t="n"/>
      <c r="D16" s="20" t="n"/>
      <c r="E16" s="21">
        <f>IF($A16="","",ROUNDUP(C16/(1-RejRate),0))</f>
        <v/>
      </c>
      <c r="F16" s="21">
        <f>IF($A16="","",E16-C16)</f>
        <v/>
      </c>
      <c r="G16" s="22">
        <f>IF($A16="","",IF(B16="Gold",GoldPrice,INDEX(TierPrices,MATCH(E16,TierQty,1),MATCH(B16,TierSpecs,0))))</f>
        <v/>
      </c>
      <c r="H16" s="22">
        <f>IF($A16="","",C16*D16)</f>
        <v/>
      </c>
      <c r="I16" s="22">
        <f>IF($A16="","",E16*G16)</f>
        <v/>
      </c>
      <c r="J16" s="22">
        <f>IF($A16="","",I16*WageCoef)</f>
        <v/>
      </c>
      <c r="K16" s="20" t="n"/>
      <c r="L16" s="22">
        <f>IF($A16="","",H16-I16-J16-N(K16))</f>
        <v/>
      </c>
      <c r="M16" s="23">
        <f>IF(OR($A16="",N(H16)=0),"",L16/H16)</f>
        <v/>
      </c>
      <c r="N16" s="22">
        <f>IF(OR($A16="",N(C16)=0),"",(E16*G16*(1+WageCoef)+N(K16))/C16)</f>
        <v/>
      </c>
      <c r="O16" s="22">
        <f>IF(OR($A16="",N16=""),"",D16-N16)</f>
        <v/>
      </c>
    </row>
    <row r="17">
      <c r="A17" s="18" t="n"/>
      <c r="B17" s="18" t="n"/>
      <c r="C17" s="19" t="n"/>
      <c r="D17" s="20" t="n"/>
      <c r="E17" s="21">
        <f>IF($A17="","",ROUNDUP(C17/(1-RejRate),0))</f>
        <v/>
      </c>
      <c r="F17" s="21">
        <f>IF($A17="","",E17-C17)</f>
        <v/>
      </c>
      <c r="G17" s="22">
        <f>IF($A17="","",IF(B17="Gold",GoldPrice,INDEX(TierPrices,MATCH(E17,TierQty,1),MATCH(B17,TierSpecs,0))))</f>
        <v/>
      </c>
      <c r="H17" s="22">
        <f>IF($A17="","",C17*D17)</f>
        <v/>
      </c>
      <c r="I17" s="22">
        <f>IF($A17="","",E17*G17)</f>
        <v/>
      </c>
      <c r="J17" s="22">
        <f>IF($A17="","",I17*WageCoef)</f>
        <v/>
      </c>
      <c r="K17" s="20" t="n"/>
      <c r="L17" s="22">
        <f>IF($A17="","",H17-I17-J17-N(K17))</f>
        <v/>
      </c>
      <c r="M17" s="23">
        <f>IF(OR($A17="",N(H17)=0),"",L17/H17)</f>
        <v/>
      </c>
      <c r="N17" s="22">
        <f>IF(OR($A17="",N(C17)=0),"",(E17*G17*(1+WageCoef)+N(K17))/C17)</f>
        <v/>
      </c>
      <c r="O17" s="22">
        <f>IF(OR($A17="",N17=""),"",D17-N17)</f>
        <v/>
      </c>
    </row>
    <row r="18">
      <c r="A18" s="18" t="n"/>
      <c r="B18" s="18" t="n"/>
      <c r="C18" s="19" t="n"/>
      <c r="D18" s="20" t="n"/>
      <c r="E18" s="21">
        <f>IF($A18="","",ROUNDUP(C18/(1-RejRate),0))</f>
        <v/>
      </c>
      <c r="F18" s="21">
        <f>IF($A18="","",E18-C18)</f>
        <v/>
      </c>
      <c r="G18" s="22">
        <f>IF($A18="","",IF(B18="Gold",GoldPrice,INDEX(TierPrices,MATCH(E18,TierQty,1),MATCH(B18,TierSpecs,0))))</f>
        <v/>
      </c>
      <c r="H18" s="22">
        <f>IF($A18="","",C18*D18)</f>
        <v/>
      </c>
      <c r="I18" s="22">
        <f>IF($A18="","",E18*G18)</f>
        <v/>
      </c>
      <c r="J18" s="22">
        <f>IF($A18="","",I18*WageCoef)</f>
        <v/>
      </c>
      <c r="K18" s="20" t="n"/>
      <c r="L18" s="22">
        <f>IF($A18="","",H18-I18-J18-N(K18))</f>
        <v/>
      </c>
      <c r="M18" s="23">
        <f>IF(OR($A18="",N(H18)=0),"",L18/H18)</f>
        <v/>
      </c>
      <c r="N18" s="22">
        <f>IF(OR($A18="",N(C18)=0),"",(E18*G18*(1+WageCoef)+N(K18))/C18)</f>
        <v/>
      </c>
      <c r="O18" s="22">
        <f>IF(OR($A18="",N18=""),"",D18-N18)</f>
        <v/>
      </c>
    </row>
    <row r="19">
      <c r="A19" s="18" t="n"/>
      <c r="B19" s="18" t="n"/>
      <c r="C19" s="19" t="n"/>
      <c r="D19" s="20" t="n"/>
      <c r="E19" s="21">
        <f>IF($A19="","",ROUNDUP(C19/(1-RejRate),0))</f>
        <v/>
      </c>
      <c r="F19" s="21">
        <f>IF($A19="","",E19-C19)</f>
        <v/>
      </c>
      <c r="G19" s="22">
        <f>IF($A19="","",IF(B19="Gold",GoldPrice,INDEX(TierPrices,MATCH(E19,TierQty,1),MATCH(B19,TierSpecs,0))))</f>
        <v/>
      </c>
      <c r="H19" s="22">
        <f>IF($A19="","",C19*D19)</f>
        <v/>
      </c>
      <c r="I19" s="22">
        <f>IF($A19="","",E19*G19)</f>
        <v/>
      </c>
      <c r="J19" s="22">
        <f>IF($A19="","",I19*WageCoef)</f>
        <v/>
      </c>
      <c r="K19" s="20" t="n"/>
      <c r="L19" s="22">
        <f>IF($A19="","",H19-I19-J19-N(K19))</f>
        <v/>
      </c>
      <c r="M19" s="23">
        <f>IF(OR($A19="",N(H19)=0),"",L19/H19)</f>
        <v/>
      </c>
      <c r="N19" s="22">
        <f>IF(OR($A19="",N(C19)=0),"",(E19*G19*(1+WageCoef)+N(K19))/C19)</f>
        <v/>
      </c>
      <c r="O19" s="22">
        <f>IF(OR($A19="",N19=""),"",D19-N19)</f>
        <v/>
      </c>
    </row>
    <row r="20">
      <c r="A20" s="18" t="n"/>
      <c r="B20" s="18" t="n"/>
      <c r="C20" s="19" t="n"/>
      <c r="D20" s="20" t="n"/>
      <c r="E20" s="21">
        <f>IF($A20="","",ROUNDUP(C20/(1-RejRate),0))</f>
        <v/>
      </c>
      <c r="F20" s="21">
        <f>IF($A20="","",E20-C20)</f>
        <v/>
      </c>
      <c r="G20" s="22">
        <f>IF($A20="","",IF(B20="Gold",GoldPrice,INDEX(TierPrices,MATCH(E20,TierQty,1),MATCH(B20,TierSpecs,0))))</f>
        <v/>
      </c>
      <c r="H20" s="22">
        <f>IF($A20="","",C20*D20)</f>
        <v/>
      </c>
      <c r="I20" s="22">
        <f>IF($A20="","",E20*G20)</f>
        <v/>
      </c>
      <c r="J20" s="22">
        <f>IF($A20="","",I20*WageCoef)</f>
        <v/>
      </c>
      <c r="K20" s="20" t="n"/>
      <c r="L20" s="22">
        <f>IF($A20="","",H20-I20-J20-N(K20))</f>
        <v/>
      </c>
      <c r="M20" s="23">
        <f>IF(OR($A20="",N(H20)=0),"",L20/H20)</f>
        <v/>
      </c>
      <c r="N20" s="22">
        <f>IF(OR($A20="",N(C20)=0),"",(E20*G20*(1+WageCoef)+N(K20))/C20)</f>
        <v/>
      </c>
      <c r="O20" s="22">
        <f>IF(OR($A20="",N20=""),"",D20-N20)</f>
        <v/>
      </c>
    </row>
    <row r="21">
      <c r="A21" s="18" t="n"/>
      <c r="B21" s="18" t="n"/>
      <c r="C21" s="19" t="n"/>
      <c r="D21" s="20" t="n"/>
      <c r="E21" s="21">
        <f>IF($A21="","",ROUNDUP(C21/(1-RejRate),0))</f>
        <v/>
      </c>
      <c r="F21" s="21">
        <f>IF($A21="","",E21-C21)</f>
        <v/>
      </c>
      <c r="G21" s="22">
        <f>IF($A21="","",IF(B21="Gold",GoldPrice,INDEX(TierPrices,MATCH(E21,TierQty,1),MATCH(B21,TierSpecs,0))))</f>
        <v/>
      </c>
      <c r="H21" s="22">
        <f>IF($A21="","",C21*D21)</f>
        <v/>
      </c>
      <c r="I21" s="22">
        <f>IF($A21="","",E21*G21)</f>
        <v/>
      </c>
      <c r="J21" s="22">
        <f>IF($A21="","",I21*WageCoef)</f>
        <v/>
      </c>
      <c r="K21" s="20" t="n"/>
      <c r="L21" s="22">
        <f>IF($A21="","",H21-I21-J21-N(K21))</f>
        <v/>
      </c>
      <c r="M21" s="23">
        <f>IF(OR($A21="",N(H21)=0),"",L21/H21)</f>
        <v/>
      </c>
      <c r="N21" s="22">
        <f>IF(OR($A21="",N(C21)=0),"",(E21*G21*(1+WageCoef)+N(K21))/C21)</f>
        <v/>
      </c>
      <c r="O21" s="22">
        <f>IF(OR($A21="",N21=""),"",D21-N21)</f>
        <v/>
      </c>
    </row>
    <row r="22">
      <c r="A22" s="18" t="n"/>
      <c r="B22" s="18" t="n"/>
      <c r="C22" s="19" t="n"/>
      <c r="D22" s="20" t="n"/>
      <c r="E22" s="21">
        <f>IF($A22="","",ROUNDUP(C22/(1-RejRate),0))</f>
        <v/>
      </c>
      <c r="F22" s="21">
        <f>IF($A22="","",E22-C22)</f>
        <v/>
      </c>
      <c r="G22" s="22">
        <f>IF($A22="","",IF(B22="Gold",GoldPrice,INDEX(TierPrices,MATCH(E22,TierQty,1),MATCH(B22,TierSpecs,0))))</f>
        <v/>
      </c>
      <c r="H22" s="22">
        <f>IF($A22="","",C22*D22)</f>
        <v/>
      </c>
      <c r="I22" s="22">
        <f>IF($A22="","",E22*G22)</f>
        <v/>
      </c>
      <c r="J22" s="22">
        <f>IF($A22="","",I22*WageCoef)</f>
        <v/>
      </c>
      <c r="K22" s="20" t="n"/>
      <c r="L22" s="22">
        <f>IF($A22="","",H22-I22-J22-N(K22))</f>
        <v/>
      </c>
      <c r="M22" s="23">
        <f>IF(OR($A22="",N(H22)=0),"",L22/H22)</f>
        <v/>
      </c>
      <c r="N22" s="22">
        <f>IF(OR($A22="",N(C22)=0),"",(E22*G22*(1+WageCoef)+N(K22))/C22)</f>
        <v/>
      </c>
      <c r="O22" s="22">
        <f>IF(OR($A22="",N22=""),"",D22-N22)</f>
        <v/>
      </c>
    </row>
    <row r="23">
      <c r="A23" s="18" t="n"/>
      <c r="B23" s="18" t="n"/>
      <c r="C23" s="19" t="n"/>
      <c r="D23" s="20" t="n"/>
      <c r="E23" s="21">
        <f>IF($A23="","",ROUNDUP(C23/(1-RejRate),0))</f>
        <v/>
      </c>
      <c r="F23" s="21">
        <f>IF($A23="","",E23-C23)</f>
        <v/>
      </c>
      <c r="G23" s="22">
        <f>IF($A23="","",IF(B23="Gold",GoldPrice,INDEX(TierPrices,MATCH(E23,TierQty,1),MATCH(B23,TierSpecs,0))))</f>
        <v/>
      </c>
      <c r="H23" s="22">
        <f>IF($A23="","",C23*D23)</f>
        <v/>
      </c>
      <c r="I23" s="22">
        <f>IF($A23="","",E23*G23)</f>
        <v/>
      </c>
      <c r="J23" s="22">
        <f>IF($A23="","",I23*WageCoef)</f>
        <v/>
      </c>
      <c r="K23" s="20" t="n"/>
      <c r="L23" s="22">
        <f>IF($A23="","",H23-I23-J23-N(K23))</f>
        <v/>
      </c>
      <c r="M23" s="23">
        <f>IF(OR($A23="",N(H23)=0),"",L23/H23)</f>
        <v/>
      </c>
      <c r="N23" s="22">
        <f>IF(OR($A23="",N(C23)=0),"",(E23*G23*(1+WageCoef)+N(K23))/C23)</f>
        <v/>
      </c>
      <c r="O23" s="22">
        <f>IF(OR($A23="",N23=""),"",D23-N23)</f>
        <v/>
      </c>
    </row>
    <row r="24">
      <c r="A24" s="18" t="n"/>
      <c r="B24" s="18" t="n"/>
      <c r="C24" s="19" t="n"/>
      <c r="D24" s="20" t="n"/>
      <c r="E24" s="21">
        <f>IF($A24="","",ROUNDUP(C24/(1-RejRate),0))</f>
        <v/>
      </c>
      <c r="F24" s="21">
        <f>IF($A24="","",E24-C24)</f>
        <v/>
      </c>
      <c r="G24" s="22">
        <f>IF($A24="","",IF(B24="Gold",GoldPrice,INDEX(TierPrices,MATCH(E24,TierQty,1),MATCH(B24,TierSpecs,0))))</f>
        <v/>
      </c>
      <c r="H24" s="22">
        <f>IF($A24="","",C24*D24)</f>
        <v/>
      </c>
      <c r="I24" s="22">
        <f>IF($A24="","",E24*G24)</f>
        <v/>
      </c>
      <c r="J24" s="22">
        <f>IF($A24="","",I24*WageCoef)</f>
        <v/>
      </c>
      <c r="K24" s="20" t="n"/>
      <c r="L24" s="22">
        <f>IF($A24="","",H24-I24-J24-N(K24))</f>
        <v/>
      </c>
      <c r="M24" s="23">
        <f>IF(OR($A24="",N(H24)=0),"",L24/H24)</f>
        <v/>
      </c>
      <c r="N24" s="22">
        <f>IF(OR($A24="",N(C24)=0),"",(E24*G24*(1+WageCoef)+N(K24))/C24)</f>
        <v/>
      </c>
      <c r="O24" s="22">
        <f>IF(OR($A24="",N24=""),"",D24-N24)</f>
        <v/>
      </c>
    </row>
    <row r="25">
      <c r="A25" s="18" t="n"/>
      <c r="B25" s="18" t="n"/>
      <c r="C25" s="19" t="n"/>
      <c r="D25" s="20" t="n"/>
      <c r="E25" s="21">
        <f>IF($A25="","",ROUNDUP(C25/(1-RejRate),0))</f>
        <v/>
      </c>
      <c r="F25" s="21">
        <f>IF($A25="","",E25-C25)</f>
        <v/>
      </c>
      <c r="G25" s="22">
        <f>IF($A25="","",IF(B25="Gold",GoldPrice,INDEX(TierPrices,MATCH(E25,TierQty,1),MATCH(B25,TierSpecs,0))))</f>
        <v/>
      </c>
      <c r="H25" s="22">
        <f>IF($A25="","",C25*D25)</f>
        <v/>
      </c>
      <c r="I25" s="22">
        <f>IF($A25="","",E25*G25)</f>
        <v/>
      </c>
      <c r="J25" s="22">
        <f>IF($A25="","",I25*WageCoef)</f>
        <v/>
      </c>
      <c r="K25" s="20" t="n"/>
      <c r="L25" s="22">
        <f>IF($A25="","",H25-I25-J25-N(K25))</f>
        <v/>
      </c>
      <c r="M25" s="23">
        <f>IF(OR($A25="",N(H25)=0),"",L25/H25)</f>
        <v/>
      </c>
      <c r="N25" s="22">
        <f>IF(OR($A25="",N(C25)=0),"",(E25*G25*(1+WageCoef)+N(K25))/C25)</f>
        <v/>
      </c>
      <c r="O25" s="22">
        <f>IF(OR($A25="",N25=""),"",D25-N25)</f>
        <v/>
      </c>
    </row>
    <row r="26">
      <c r="A26" s="18" t="n"/>
      <c r="B26" s="18" t="n"/>
      <c r="C26" s="19" t="n"/>
      <c r="D26" s="20" t="n"/>
      <c r="E26" s="21">
        <f>IF($A26="","",ROUNDUP(C26/(1-RejRate),0))</f>
        <v/>
      </c>
      <c r="F26" s="21">
        <f>IF($A26="","",E26-C26)</f>
        <v/>
      </c>
      <c r="G26" s="22">
        <f>IF($A26="","",IF(B26="Gold",GoldPrice,INDEX(TierPrices,MATCH(E26,TierQty,1),MATCH(B26,TierSpecs,0))))</f>
        <v/>
      </c>
      <c r="H26" s="22">
        <f>IF($A26="","",C26*D26)</f>
        <v/>
      </c>
      <c r="I26" s="22">
        <f>IF($A26="","",E26*G26)</f>
        <v/>
      </c>
      <c r="J26" s="22">
        <f>IF($A26="","",I26*WageCoef)</f>
        <v/>
      </c>
      <c r="K26" s="20" t="n"/>
      <c r="L26" s="22">
        <f>IF($A26="","",H26-I26-J26-N(K26))</f>
        <v/>
      </c>
      <c r="M26" s="23">
        <f>IF(OR($A26="",N(H26)=0),"",L26/H26)</f>
        <v/>
      </c>
      <c r="N26" s="22">
        <f>IF(OR($A26="",N(C26)=0),"",(E26*G26*(1+WageCoef)+N(K26))/C26)</f>
        <v/>
      </c>
      <c r="O26" s="22">
        <f>IF(OR($A26="",N26=""),"",D26-N26)</f>
        <v/>
      </c>
    </row>
    <row r="27">
      <c r="A27" s="18" t="n"/>
      <c r="B27" s="18" t="n"/>
      <c r="C27" s="19" t="n"/>
      <c r="D27" s="20" t="n"/>
      <c r="E27" s="21">
        <f>IF($A27="","",ROUNDUP(C27/(1-RejRate),0))</f>
        <v/>
      </c>
      <c r="F27" s="21">
        <f>IF($A27="","",E27-C27)</f>
        <v/>
      </c>
      <c r="G27" s="22">
        <f>IF($A27="","",IF(B27="Gold",GoldPrice,INDEX(TierPrices,MATCH(E27,TierQty,1),MATCH(B27,TierSpecs,0))))</f>
        <v/>
      </c>
      <c r="H27" s="22">
        <f>IF($A27="","",C27*D27)</f>
        <v/>
      </c>
      <c r="I27" s="22">
        <f>IF($A27="","",E27*G27)</f>
        <v/>
      </c>
      <c r="J27" s="22">
        <f>IF($A27="","",I27*WageCoef)</f>
        <v/>
      </c>
      <c r="K27" s="20" t="n"/>
      <c r="L27" s="22">
        <f>IF($A27="","",H27-I27-J27-N(K27))</f>
        <v/>
      </c>
      <c r="M27" s="23">
        <f>IF(OR($A27="",N(H27)=0),"",L27/H27)</f>
        <v/>
      </c>
      <c r="N27" s="22">
        <f>IF(OR($A27="",N(C27)=0),"",(E27*G27*(1+WageCoef)+N(K27))/C27)</f>
        <v/>
      </c>
      <c r="O27" s="22">
        <f>IF(OR($A27="",N27=""),"",D27-N27)</f>
        <v/>
      </c>
    </row>
    <row r="28">
      <c r="A28" s="18" t="n"/>
      <c r="B28" s="18" t="n"/>
      <c r="C28" s="19" t="n"/>
      <c r="D28" s="20" t="n"/>
      <c r="E28" s="21">
        <f>IF($A28="","",ROUNDUP(C28/(1-RejRate),0))</f>
        <v/>
      </c>
      <c r="F28" s="21">
        <f>IF($A28="","",E28-C28)</f>
        <v/>
      </c>
      <c r="G28" s="22">
        <f>IF($A28="","",IF(B28="Gold",GoldPrice,INDEX(TierPrices,MATCH(E28,TierQty,1),MATCH(B28,TierSpecs,0))))</f>
        <v/>
      </c>
      <c r="H28" s="22">
        <f>IF($A28="","",C28*D28)</f>
        <v/>
      </c>
      <c r="I28" s="22">
        <f>IF($A28="","",E28*G28)</f>
        <v/>
      </c>
      <c r="J28" s="22">
        <f>IF($A28="","",I28*WageCoef)</f>
        <v/>
      </c>
      <c r="K28" s="20" t="n"/>
      <c r="L28" s="22">
        <f>IF($A28="","",H28-I28-J28-N(K28))</f>
        <v/>
      </c>
      <c r="M28" s="23">
        <f>IF(OR($A28="",N(H28)=0),"",L28/H28)</f>
        <v/>
      </c>
      <c r="N28" s="22">
        <f>IF(OR($A28="",N(C28)=0),"",(E28*G28*(1+WageCoef)+N(K28))/C28)</f>
        <v/>
      </c>
      <c r="O28" s="22">
        <f>IF(OR($A28="",N28=""),"",D28-N28)</f>
        <v/>
      </c>
    </row>
    <row r="29">
      <c r="A29" s="18" t="n"/>
      <c r="B29" s="18" t="n"/>
      <c r="C29" s="19" t="n"/>
      <c r="D29" s="20" t="n"/>
      <c r="E29" s="21">
        <f>IF($A29="","",ROUNDUP(C29/(1-RejRate),0))</f>
        <v/>
      </c>
      <c r="F29" s="21">
        <f>IF($A29="","",E29-C29)</f>
        <v/>
      </c>
      <c r="G29" s="22">
        <f>IF($A29="","",IF(B29="Gold",GoldPrice,INDEX(TierPrices,MATCH(E29,TierQty,1),MATCH(B29,TierSpecs,0))))</f>
        <v/>
      </c>
      <c r="H29" s="22">
        <f>IF($A29="","",C29*D29)</f>
        <v/>
      </c>
      <c r="I29" s="22">
        <f>IF($A29="","",E29*G29)</f>
        <v/>
      </c>
      <c r="J29" s="22">
        <f>IF($A29="","",I29*WageCoef)</f>
        <v/>
      </c>
      <c r="K29" s="20" t="n"/>
      <c r="L29" s="22">
        <f>IF($A29="","",H29-I29-J29-N(K29))</f>
        <v/>
      </c>
      <c r="M29" s="23">
        <f>IF(OR($A29="",N(H29)=0),"",L29/H29)</f>
        <v/>
      </c>
      <c r="N29" s="22">
        <f>IF(OR($A29="",N(C29)=0),"",(E29*G29*(1+WageCoef)+N(K29))/C29)</f>
        <v/>
      </c>
      <c r="O29" s="22">
        <f>IF(OR($A29="",N29=""),"",D29-N29)</f>
        <v/>
      </c>
    </row>
    <row r="30">
      <c r="A30" s="18" t="n"/>
      <c r="B30" s="18" t="n"/>
      <c r="C30" s="19" t="n"/>
      <c r="D30" s="20" t="n"/>
      <c r="E30" s="21">
        <f>IF($A30="","",ROUNDUP(C30/(1-RejRate),0))</f>
        <v/>
      </c>
      <c r="F30" s="21">
        <f>IF($A30="","",E30-C30)</f>
        <v/>
      </c>
      <c r="G30" s="22">
        <f>IF($A30="","",IF(B30="Gold",GoldPrice,INDEX(TierPrices,MATCH(E30,TierQty,1),MATCH(B30,TierSpecs,0))))</f>
        <v/>
      </c>
      <c r="H30" s="22">
        <f>IF($A30="","",C30*D30)</f>
        <v/>
      </c>
      <c r="I30" s="22">
        <f>IF($A30="","",E30*G30)</f>
        <v/>
      </c>
      <c r="J30" s="22">
        <f>IF($A30="","",I30*WageCoef)</f>
        <v/>
      </c>
      <c r="K30" s="20" t="n"/>
      <c r="L30" s="22">
        <f>IF($A30="","",H30-I30-J30-N(K30))</f>
        <v/>
      </c>
      <c r="M30" s="23">
        <f>IF(OR($A30="",N(H30)=0),"",L30/H30)</f>
        <v/>
      </c>
      <c r="N30" s="22">
        <f>IF(OR($A30="",N(C30)=0),"",(E30*G30*(1+WageCoef)+N(K30))/C30)</f>
        <v/>
      </c>
      <c r="O30" s="22">
        <f>IF(OR($A30="",N30=""),"",D30-N30)</f>
        <v/>
      </c>
    </row>
    <row r="31">
      <c r="A31" s="18" t="n"/>
      <c r="B31" s="18" t="n"/>
      <c r="C31" s="19" t="n"/>
      <c r="D31" s="20" t="n"/>
      <c r="E31" s="21">
        <f>IF($A31="","",ROUNDUP(C31/(1-RejRate),0))</f>
        <v/>
      </c>
      <c r="F31" s="21">
        <f>IF($A31="","",E31-C31)</f>
        <v/>
      </c>
      <c r="G31" s="22">
        <f>IF($A31="","",IF(B31="Gold",GoldPrice,INDEX(TierPrices,MATCH(E31,TierQty,1),MATCH(B31,TierSpecs,0))))</f>
        <v/>
      </c>
      <c r="H31" s="22">
        <f>IF($A31="","",C31*D31)</f>
        <v/>
      </c>
      <c r="I31" s="22">
        <f>IF($A31="","",E31*G31)</f>
        <v/>
      </c>
      <c r="J31" s="22">
        <f>IF($A31="","",I31*WageCoef)</f>
        <v/>
      </c>
      <c r="K31" s="20" t="n"/>
      <c r="L31" s="22">
        <f>IF($A31="","",H31-I31-J31-N(K31))</f>
        <v/>
      </c>
      <c r="M31" s="23">
        <f>IF(OR($A31="",N(H31)=0),"",L31/H31)</f>
        <v/>
      </c>
      <c r="N31" s="22">
        <f>IF(OR($A31="",N(C31)=0),"",(E31*G31*(1+WageCoef)+N(K31))/C31)</f>
        <v/>
      </c>
      <c r="O31" s="22">
        <f>IF(OR($A31="",N31=""),"",D31-N31)</f>
        <v/>
      </c>
    </row>
    <row r="32">
      <c r="A32" s="18" t="n"/>
      <c r="B32" s="18" t="n"/>
      <c r="C32" s="19" t="n"/>
      <c r="D32" s="20" t="n"/>
      <c r="E32" s="21">
        <f>IF($A32="","",ROUNDUP(C32/(1-RejRate),0))</f>
        <v/>
      </c>
      <c r="F32" s="21">
        <f>IF($A32="","",E32-C32)</f>
        <v/>
      </c>
      <c r="G32" s="22">
        <f>IF($A32="","",IF(B32="Gold",GoldPrice,INDEX(TierPrices,MATCH(E32,TierQty,1),MATCH(B32,TierSpecs,0))))</f>
        <v/>
      </c>
      <c r="H32" s="22">
        <f>IF($A32="","",C32*D32)</f>
        <v/>
      </c>
      <c r="I32" s="22">
        <f>IF($A32="","",E32*G32)</f>
        <v/>
      </c>
      <c r="J32" s="22">
        <f>IF($A32="","",I32*WageCoef)</f>
        <v/>
      </c>
      <c r="K32" s="20" t="n"/>
      <c r="L32" s="22">
        <f>IF($A32="","",H32-I32-J32-N(K32))</f>
        <v/>
      </c>
      <c r="M32" s="23">
        <f>IF(OR($A32="",N(H32)=0),"",L32/H32)</f>
        <v/>
      </c>
      <c r="N32" s="22">
        <f>IF(OR($A32="",N(C32)=0),"",(E32*G32*(1+WageCoef)+N(K32))/C32)</f>
        <v/>
      </c>
      <c r="O32" s="22">
        <f>IF(OR($A32="",N32=""),"",D32-N32)</f>
        <v/>
      </c>
    </row>
    <row r="33">
      <c r="A33" s="18" t="n"/>
      <c r="B33" s="18" t="n"/>
      <c r="C33" s="19" t="n"/>
      <c r="D33" s="20" t="n"/>
      <c r="E33" s="21">
        <f>IF($A33="","",ROUNDUP(C33/(1-RejRate),0))</f>
        <v/>
      </c>
      <c r="F33" s="21">
        <f>IF($A33="","",E33-C33)</f>
        <v/>
      </c>
      <c r="G33" s="22">
        <f>IF($A33="","",IF(B33="Gold",GoldPrice,INDEX(TierPrices,MATCH(E33,TierQty,1),MATCH(B33,TierSpecs,0))))</f>
        <v/>
      </c>
      <c r="H33" s="22">
        <f>IF($A33="","",C33*D33)</f>
        <v/>
      </c>
      <c r="I33" s="22">
        <f>IF($A33="","",E33*G33)</f>
        <v/>
      </c>
      <c r="J33" s="22">
        <f>IF($A33="","",I33*WageCoef)</f>
        <v/>
      </c>
      <c r="K33" s="20" t="n"/>
      <c r="L33" s="22">
        <f>IF($A33="","",H33-I33-J33-N(K33))</f>
        <v/>
      </c>
      <c r="M33" s="23">
        <f>IF(OR($A33="",N(H33)=0),"",L33/H33)</f>
        <v/>
      </c>
      <c r="N33" s="22">
        <f>IF(OR($A33="",N(C33)=0),"",(E33*G33*(1+WageCoef)+N(K33))/C33)</f>
        <v/>
      </c>
      <c r="O33" s="22">
        <f>IF(OR($A33="",N33=""),"",D33-N33)</f>
        <v/>
      </c>
    </row>
    <row r="34">
      <c r="A34" s="18" t="n"/>
      <c r="B34" s="18" t="n"/>
      <c r="C34" s="19" t="n"/>
      <c r="D34" s="20" t="n"/>
      <c r="E34" s="21">
        <f>IF($A34="","",ROUNDUP(C34/(1-RejRate),0))</f>
        <v/>
      </c>
      <c r="F34" s="21">
        <f>IF($A34="","",E34-C34)</f>
        <v/>
      </c>
      <c r="G34" s="22">
        <f>IF($A34="","",IF(B34="Gold",GoldPrice,INDEX(TierPrices,MATCH(E34,TierQty,1),MATCH(B34,TierSpecs,0))))</f>
        <v/>
      </c>
      <c r="H34" s="22">
        <f>IF($A34="","",C34*D34)</f>
        <v/>
      </c>
      <c r="I34" s="22">
        <f>IF($A34="","",E34*G34)</f>
        <v/>
      </c>
      <c r="J34" s="22">
        <f>IF($A34="","",I34*WageCoef)</f>
        <v/>
      </c>
      <c r="K34" s="20" t="n"/>
      <c r="L34" s="22">
        <f>IF($A34="","",H34-I34-J34-N(K34))</f>
        <v/>
      </c>
      <c r="M34" s="23">
        <f>IF(OR($A34="",N(H34)=0),"",L34/H34)</f>
        <v/>
      </c>
      <c r="N34" s="22">
        <f>IF(OR($A34="",N(C34)=0),"",(E34*G34*(1+WageCoef)+N(K34))/C34)</f>
        <v/>
      </c>
      <c r="O34" s="22">
        <f>IF(OR($A34="",N34=""),"",D34-N34)</f>
        <v/>
      </c>
    </row>
    <row r="36">
      <c r="A36" s="25" t="inlineStr">
        <is>
          <t>Total</t>
        </is>
      </c>
      <c r="B36" s="26" t="n"/>
      <c r="C36" s="27">
        <f>SUM(C5:C34)</f>
        <v/>
      </c>
      <c r="D36" s="28" t="n"/>
      <c r="E36" s="27">
        <f>SUM(E5:E34)</f>
        <v/>
      </c>
      <c r="F36" s="27">
        <f>SUM(F5:F34)</f>
        <v/>
      </c>
      <c r="G36" s="28" t="n"/>
      <c r="H36" s="28">
        <f>SUM(H5:H34)</f>
        <v/>
      </c>
      <c r="I36" s="28">
        <f>SUM(I5:I34)</f>
        <v/>
      </c>
      <c r="J36" s="28">
        <f>SUM(J5:J34)</f>
        <v/>
      </c>
      <c r="K36" s="28">
        <f>SUM(K5:K34)</f>
        <v/>
      </c>
      <c r="L36" s="28">
        <f>SUM(L5:L34)</f>
        <v/>
      </c>
      <c r="M36" s="29">
        <f>IF(N(H36)=0,"",L36/H36)</f>
        <v/>
      </c>
      <c r="N36" s="28" t="n"/>
      <c r="O36" s="28" t="n"/>
    </row>
  </sheetData>
  <conditionalFormatting sqref="D5:D34">
    <cfRule type="expression" priority="1" dxfId="0" stopIfTrue="0">
      <formula>AND(ISNUMBER(D5),OR(D5&lt;PriceMin,D5&gt;PriceMax))</formula>
    </cfRule>
  </conditionalFormatting>
  <dataValidations count="1">
    <dataValidation sqref="B5:B34" showDropDown="0" showInputMessage="0" showErrorMessage="1" allowBlank="1" errorTitle="Spec" error="Choose Blue, Silver, Copper or Gold." type="list">
      <formula1>"Blue,Silver,Copper,Gold"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AF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Year 2 profit and loss</t>
        </is>
      </c>
    </row>
    <row r="2">
      <c r="A2" s="2" t="inlineStr">
        <is>
          <t>Contract columns read Contracts Y2 row by row; blank columns are unused contract rows. Year total sums the whole contract range. Costs shown as positive amounts that are subtracted.</t>
        </is>
      </c>
    </row>
    <row r="4">
      <c r="A4" s="8" t="inlineStr">
        <is>
          <t>Contract</t>
        </is>
      </c>
      <c r="B4" s="8" t="inlineStr">
        <is>
          <t>Year total</t>
        </is>
      </c>
      <c r="C4" s="8">
        <f>IF('Contracts Y2'!$A5="","",'Contracts Y2'!$A5)</f>
        <v/>
      </c>
      <c r="D4" s="8">
        <f>IF('Contracts Y2'!$A6="","",'Contracts Y2'!$A6)</f>
        <v/>
      </c>
      <c r="E4" s="8">
        <f>IF('Contracts Y2'!$A7="","",'Contracts Y2'!$A7)</f>
        <v/>
      </c>
      <c r="F4" s="8">
        <f>IF('Contracts Y2'!$A8="","",'Contracts Y2'!$A8)</f>
        <v/>
      </c>
      <c r="G4" s="8">
        <f>IF('Contracts Y2'!$A9="","",'Contracts Y2'!$A9)</f>
        <v/>
      </c>
      <c r="H4" s="8">
        <f>IF('Contracts Y2'!$A10="","",'Contracts Y2'!$A10)</f>
        <v/>
      </c>
      <c r="I4" s="8">
        <f>IF('Contracts Y2'!$A11="","",'Contracts Y2'!$A11)</f>
        <v/>
      </c>
      <c r="J4" s="8">
        <f>IF('Contracts Y2'!$A12="","",'Contracts Y2'!$A12)</f>
        <v/>
      </c>
      <c r="K4" s="8">
        <f>IF('Contracts Y2'!$A13="","",'Contracts Y2'!$A13)</f>
        <v/>
      </c>
      <c r="L4" s="8">
        <f>IF('Contracts Y2'!$A14="","",'Contracts Y2'!$A14)</f>
        <v/>
      </c>
      <c r="M4" s="8">
        <f>IF('Contracts Y2'!$A15="","",'Contracts Y2'!$A15)</f>
        <v/>
      </c>
      <c r="N4" s="8">
        <f>IF('Contracts Y2'!$A16="","",'Contracts Y2'!$A16)</f>
        <v/>
      </c>
      <c r="O4" s="8">
        <f>IF('Contracts Y2'!$A17="","",'Contracts Y2'!$A17)</f>
        <v/>
      </c>
      <c r="P4" s="8">
        <f>IF('Contracts Y2'!$A18="","",'Contracts Y2'!$A18)</f>
        <v/>
      </c>
      <c r="Q4" s="8">
        <f>IF('Contracts Y2'!$A19="","",'Contracts Y2'!$A19)</f>
        <v/>
      </c>
      <c r="R4" s="8">
        <f>IF('Contracts Y2'!$A20="","",'Contracts Y2'!$A20)</f>
        <v/>
      </c>
      <c r="S4" s="8">
        <f>IF('Contracts Y2'!$A21="","",'Contracts Y2'!$A21)</f>
        <v/>
      </c>
      <c r="T4" s="8">
        <f>IF('Contracts Y2'!$A22="","",'Contracts Y2'!$A22)</f>
        <v/>
      </c>
      <c r="U4" s="8">
        <f>IF('Contracts Y2'!$A23="","",'Contracts Y2'!$A23)</f>
        <v/>
      </c>
      <c r="V4" s="8">
        <f>IF('Contracts Y2'!$A24="","",'Contracts Y2'!$A24)</f>
        <v/>
      </c>
      <c r="W4" s="8">
        <f>IF('Contracts Y2'!$A25="","",'Contracts Y2'!$A25)</f>
        <v/>
      </c>
      <c r="X4" s="8">
        <f>IF('Contracts Y2'!$A26="","",'Contracts Y2'!$A26)</f>
        <v/>
      </c>
      <c r="Y4" s="8">
        <f>IF('Contracts Y2'!$A27="","",'Contracts Y2'!$A27)</f>
        <v/>
      </c>
      <c r="Z4" s="8">
        <f>IF('Contracts Y2'!$A28="","",'Contracts Y2'!$A28)</f>
        <v/>
      </c>
      <c r="AA4" s="8">
        <f>IF('Contracts Y2'!$A29="","",'Contracts Y2'!$A29)</f>
        <v/>
      </c>
      <c r="AB4" s="8">
        <f>IF('Contracts Y2'!$A30="","",'Contracts Y2'!$A30)</f>
        <v/>
      </c>
      <c r="AC4" s="8">
        <f>IF('Contracts Y2'!$A31="","",'Contracts Y2'!$A31)</f>
        <v/>
      </c>
      <c r="AD4" s="8">
        <f>IF('Contracts Y2'!$A32="","",'Contracts Y2'!$A32)</f>
        <v/>
      </c>
      <c r="AE4" s="8">
        <f>IF('Contracts Y2'!$A33="","",'Contracts Y2'!$A33)</f>
        <v/>
      </c>
      <c r="AF4" s="8">
        <f>IF('Contracts Y2'!$A34="","",'Contracts Y2'!$A34)</f>
        <v/>
      </c>
    </row>
    <row r="5">
      <c r="A5" s="8" t="inlineStr">
        <is>
          <t>Spec</t>
        </is>
      </c>
      <c r="B5" s="30" t="inlineStr"/>
      <c r="C5" s="8">
        <f>IF('Contracts Y2'!$A5="","",'Contracts Y2'!$B5)</f>
        <v/>
      </c>
      <c r="D5" s="8">
        <f>IF('Contracts Y2'!$A6="","",'Contracts Y2'!$B6)</f>
        <v/>
      </c>
      <c r="E5" s="8">
        <f>IF('Contracts Y2'!$A7="","",'Contracts Y2'!$B7)</f>
        <v/>
      </c>
      <c r="F5" s="8">
        <f>IF('Contracts Y2'!$A8="","",'Contracts Y2'!$B8)</f>
        <v/>
      </c>
      <c r="G5" s="8">
        <f>IF('Contracts Y2'!$A9="","",'Contracts Y2'!$B9)</f>
        <v/>
      </c>
      <c r="H5" s="8">
        <f>IF('Contracts Y2'!$A10="","",'Contracts Y2'!$B10)</f>
        <v/>
      </c>
      <c r="I5" s="8">
        <f>IF('Contracts Y2'!$A11="","",'Contracts Y2'!$B11)</f>
        <v/>
      </c>
      <c r="J5" s="8">
        <f>IF('Contracts Y2'!$A12="","",'Contracts Y2'!$B12)</f>
        <v/>
      </c>
      <c r="K5" s="8">
        <f>IF('Contracts Y2'!$A13="","",'Contracts Y2'!$B13)</f>
        <v/>
      </c>
      <c r="L5" s="8">
        <f>IF('Contracts Y2'!$A14="","",'Contracts Y2'!$B14)</f>
        <v/>
      </c>
      <c r="M5" s="8">
        <f>IF('Contracts Y2'!$A15="","",'Contracts Y2'!$B15)</f>
        <v/>
      </c>
      <c r="N5" s="8">
        <f>IF('Contracts Y2'!$A16="","",'Contracts Y2'!$B16)</f>
        <v/>
      </c>
      <c r="O5" s="8">
        <f>IF('Contracts Y2'!$A17="","",'Contracts Y2'!$B17)</f>
        <v/>
      </c>
      <c r="P5" s="8">
        <f>IF('Contracts Y2'!$A18="","",'Contracts Y2'!$B18)</f>
        <v/>
      </c>
      <c r="Q5" s="8">
        <f>IF('Contracts Y2'!$A19="","",'Contracts Y2'!$B19)</f>
        <v/>
      </c>
      <c r="R5" s="8">
        <f>IF('Contracts Y2'!$A20="","",'Contracts Y2'!$B20)</f>
        <v/>
      </c>
      <c r="S5" s="8">
        <f>IF('Contracts Y2'!$A21="","",'Contracts Y2'!$B21)</f>
        <v/>
      </c>
      <c r="T5" s="8">
        <f>IF('Contracts Y2'!$A22="","",'Contracts Y2'!$B22)</f>
        <v/>
      </c>
      <c r="U5" s="8">
        <f>IF('Contracts Y2'!$A23="","",'Contracts Y2'!$B23)</f>
        <v/>
      </c>
      <c r="V5" s="8">
        <f>IF('Contracts Y2'!$A24="","",'Contracts Y2'!$B24)</f>
        <v/>
      </c>
      <c r="W5" s="8">
        <f>IF('Contracts Y2'!$A25="","",'Contracts Y2'!$B25)</f>
        <v/>
      </c>
      <c r="X5" s="8">
        <f>IF('Contracts Y2'!$A26="","",'Contracts Y2'!$B26)</f>
        <v/>
      </c>
      <c r="Y5" s="8">
        <f>IF('Contracts Y2'!$A27="","",'Contracts Y2'!$B27)</f>
        <v/>
      </c>
      <c r="Z5" s="8">
        <f>IF('Contracts Y2'!$A28="","",'Contracts Y2'!$B28)</f>
        <v/>
      </c>
      <c r="AA5" s="8">
        <f>IF('Contracts Y2'!$A29="","",'Contracts Y2'!$B29)</f>
        <v/>
      </c>
      <c r="AB5" s="8">
        <f>IF('Contracts Y2'!$A30="","",'Contracts Y2'!$B30)</f>
        <v/>
      </c>
      <c r="AC5" s="8">
        <f>IF('Contracts Y2'!$A31="","",'Contracts Y2'!$B31)</f>
        <v/>
      </c>
      <c r="AD5" s="8">
        <f>IF('Contracts Y2'!$A32="","",'Contracts Y2'!$B32)</f>
        <v/>
      </c>
      <c r="AE5" s="8">
        <f>IF('Contracts Y2'!$A33="","",'Contracts Y2'!$B33)</f>
        <v/>
      </c>
      <c r="AF5" s="8">
        <f>IF('Contracts Y2'!$A34="","",'Contracts Y2'!$B34)</f>
        <v/>
      </c>
    </row>
    <row r="6">
      <c r="A6" s="4" t="inlineStr">
        <is>
          <t>Contract revenue</t>
        </is>
      </c>
      <c r="B6" s="12">
        <f>SUM('Contracts Y2'!H$5:H$34)</f>
        <v/>
      </c>
      <c r="C6" s="12">
        <f>IF(C$4="","",'Contracts Y2'!H5)</f>
        <v/>
      </c>
      <c r="D6" s="12">
        <f>IF(D$4="","",'Contracts Y2'!H6)</f>
        <v/>
      </c>
      <c r="E6" s="12">
        <f>IF(E$4="","",'Contracts Y2'!H7)</f>
        <v/>
      </c>
      <c r="F6" s="12">
        <f>IF(F$4="","",'Contracts Y2'!H8)</f>
        <v/>
      </c>
      <c r="G6" s="12">
        <f>IF(G$4="","",'Contracts Y2'!H9)</f>
        <v/>
      </c>
      <c r="H6" s="12">
        <f>IF(H$4="","",'Contracts Y2'!H10)</f>
        <v/>
      </c>
      <c r="I6" s="12">
        <f>IF(I$4="","",'Contracts Y2'!H11)</f>
        <v/>
      </c>
      <c r="J6" s="12">
        <f>IF(J$4="","",'Contracts Y2'!H12)</f>
        <v/>
      </c>
      <c r="K6" s="12">
        <f>IF(K$4="","",'Contracts Y2'!H13)</f>
        <v/>
      </c>
      <c r="L6" s="12">
        <f>IF(L$4="","",'Contracts Y2'!H14)</f>
        <v/>
      </c>
      <c r="M6" s="12">
        <f>IF(M$4="","",'Contracts Y2'!H15)</f>
        <v/>
      </c>
      <c r="N6" s="12">
        <f>IF(N$4="","",'Contracts Y2'!H16)</f>
        <v/>
      </c>
      <c r="O6" s="12">
        <f>IF(O$4="","",'Contracts Y2'!H17)</f>
        <v/>
      </c>
      <c r="P6" s="12">
        <f>IF(P$4="","",'Contracts Y2'!H18)</f>
        <v/>
      </c>
      <c r="Q6" s="12">
        <f>IF(Q$4="","",'Contracts Y2'!H19)</f>
        <v/>
      </c>
      <c r="R6" s="12">
        <f>IF(R$4="","",'Contracts Y2'!H20)</f>
        <v/>
      </c>
      <c r="S6" s="12">
        <f>IF(S$4="","",'Contracts Y2'!H21)</f>
        <v/>
      </c>
      <c r="T6" s="12">
        <f>IF(T$4="","",'Contracts Y2'!H22)</f>
        <v/>
      </c>
      <c r="U6" s="12">
        <f>IF(U$4="","",'Contracts Y2'!H23)</f>
        <v/>
      </c>
      <c r="V6" s="12">
        <f>IF(V$4="","",'Contracts Y2'!H24)</f>
        <v/>
      </c>
      <c r="W6" s="12">
        <f>IF(W$4="","",'Contracts Y2'!H25)</f>
        <v/>
      </c>
      <c r="X6" s="12">
        <f>IF(X$4="","",'Contracts Y2'!H26)</f>
        <v/>
      </c>
      <c r="Y6" s="12">
        <f>IF(Y$4="","",'Contracts Y2'!H27)</f>
        <v/>
      </c>
      <c r="Z6" s="12">
        <f>IF(Z$4="","",'Contracts Y2'!H28)</f>
        <v/>
      </c>
      <c r="AA6" s="12">
        <f>IF(AA$4="","",'Contracts Y2'!H29)</f>
        <v/>
      </c>
      <c r="AB6" s="12">
        <f>IF(AB$4="","",'Contracts Y2'!H30)</f>
        <v/>
      </c>
      <c r="AC6" s="12">
        <f>IF(AC$4="","",'Contracts Y2'!H31)</f>
        <v/>
      </c>
      <c r="AD6" s="12">
        <f>IF(AD$4="","",'Contracts Y2'!H32)</f>
        <v/>
      </c>
      <c r="AE6" s="12">
        <f>IF(AE$4="","",'Contracts Y2'!H33)</f>
        <v/>
      </c>
      <c r="AF6" s="12">
        <f>IF(AF$4="","",'Contracts Y2'!H34)</f>
        <v/>
      </c>
    </row>
    <row r="7">
      <c r="A7" s="4" t="inlineStr">
        <is>
          <t>Less raw materials used</t>
        </is>
      </c>
      <c r="B7" s="12">
        <f>SUM('Contracts Y2'!I$5:I$34)</f>
        <v/>
      </c>
      <c r="C7" s="12">
        <f>IF(C$4="","",'Contracts Y2'!I5)</f>
        <v/>
      </c>
      <c r="D7" s="12">
        <f>IF(D$4="","",'Contracts Y2'!I6)</f>
        <v/>
      </c>
      <c r="E7" s="12">
        <f>IF(E$4="","",'Contracts Y2'!I7)</f>
        <v/>
      </c>
      <c r="F7" s="12">
        <f>IF(F$4="","",'Contracts Y2'!I8)</f>
        <v/>
      </c>
      <c r="G7" s="12">
        <f>IF(G$4="","",'Contracts Y2'!I9)</f>
        <v/>
      </c>
      <c r="H7" s="12">
        <f>IF(H$4="","",'Contracts Y2'!I10)</f>
        <v/>
      </c>
      <c r="I7" s="12">
        <f>IF(I$4="","",'Contracts Y2'!I11)</f>
        <v/>
      </c>
      <c r="J7" s="12">
        <f>IF(J$4="","",'Contracts Y2'!I12)</f>
        <v/>
      </c>
      <c r="K7" s="12">
        <f>IF(K$4="","",'Contracts Y2'!I13)</f>
        <v/>
      </c>
      <c r="L7" s="12">
        <f>IF(L$4="","",'Contracts Y2'!I14)</f>
        <v/>
      </c>
      <c r="M7" s="12">
        <f>IF(M$4="","",'Contracts Y2'!I15)</f>
        <v/>
      </c>
      <c r="N7" s="12">
        <f>IF(N$4="","",'Contracts Y2'!I16)</f>
        <v/>
      </c>
      <c r="O7" s="12">
        <f>IF(O$4="","",'Contracts Y2'!I17)</f>
        <v/>
      </c>
      <c r="P7" s="12">
        <f>IF(P$4="","",'Contracts Y2'!I18)</f>
        <v/>
      </c>
      <c r="Q7" s="12">
        <f>IF(Q$4="","",'Contracts Y2'!I19)</f>
        <v/>
      </c>
      <c r="R7" s="12">
        <f>IF(R$4="","",'Contracts Y2'!I20)</f>
        <v/>
      </c>
      <c r="S7" s="12">
        <f>IF(S$4="","",'Contracts Y2'!I21)</f>
        <v/>
      </c>
      <c r="T7" s="12">
        <f>IF(T$4="","",'Contracts Y2'!I22)</f>
        <v/>
      </c>
      <c r="U7" s="12">
        <f>IF(U$4="","",'Contracts Y2'!I23)</f>
        <v/>
      </c>
      <c r="V7" s="12">
        <f>IF(V$4="","",'Contracts Y2'!I24)</f>
        <v/>
      </c>
      <c r="W7" s="12">
        <f>IF(W$4="","",'Contracts Y2'!I25)</f>
        <v/>
      </c>
      <c r="X7" s="12">
        <f>IF(X$4="","",'Contracts Y2'!I26)</f>
        <v/>
      </c>
      <c r="Y7" s="12">
        <f>IF(Y$4="","",'Contracts Y2'!I27)</f>
        <v/>
      </c>
      <c r="Z7" s="12">
        <f>IF(Z$4="","",'Contracts Y2'!I28)</f>
        <v/>
      </c>
      <c r="AA7" s="12">
        <f>IF(AA$4="","",'Contracts Y2'!I29)</f>
        <v/>
      </c>
      <c r="AB7" s="12">
        <f>IF(AB$4="","",'Contracts Y2'!I30)</f>
        <v/>
      </c>
      <c r="AC7" s="12">
        <f>IF(AC$4="","",'Contracts Y2'!I31)</f>
        <v/>
      </c>
      <c r="AD7" s="12">
        <f>IF(AD$4="","",'Contracts Y2'!I32)</f>
        <v/>
      </c>
      <c r="AE7" s="12">
        <f>IF(AE$4="","",'Contracts Y2'!I33)</f>
        <v/>
      </c>
      <c r="AF7" s="12">
        <f>IF(AF$4="","",'Contracts Y2'!I34)</f>
        <v/>
      </c>
    </row>
    <row r="8">
      <c r="A8" s="4" t="inlineStr">
        <is>
          <t>Less production wages</t>
        </is>
      </c>
      <c r="B8" s="12">
        <f>SUM('Contracts Y2'!J$5:J$34)</f>
        <v/>
      </c>
      <c r="C8" s="12">
        <f>IF(C$4="","",'Contracts Y2'!J5)</f>
        <v/>
      </c>
      <c r="D8" s="12">
        <f>IF(D$4="","",'Contracts Y2'!J6)</f>
        <v/>
      </c>
      <c r="E8" s="12">
        <f>IF(E$4="","",'Contracts Y2'!J7)</f>
        <v/>
      </c>
      <c r="F8" s="12">
        <f>IF(F$4="","",'Contracts Y2'!J8)</f>
        <v/>
      </c>
      <c r="G8" s="12">
        <f>IF(G$4="","",'Contracts Y2'!J9)</f>
        <v/>
      </c>
      <c r="H8" s="12">
        <f>IF(H$4="","",'Contracts Y2'!J10)</f>
        <v/>
      </c>
      <c r="I8" s="12">
        <f>IF(I$4="","",'Contracts Y2'!J11)</f>
        <v/>
      </c>
      <c r="J8" s="12">
        <f>IF(J$4="","",'Contracts Y2'!J12)</f>
        <v/>
      </c>
      <c r="K8" s="12">
        <f>IF(K$4="","",'Contracts Y2'!J13)</f>
        <v/>
      </c>
      <c r="L8" s="12">
        <f>IF(L$4="","",'Contracts Y2'!J14)</f>
        <v/>
      </c>
      <c r="M8" s="12">
        <f>IF(M$4="","",'Contracts Y2'!J15)</f>
        <v/>
      </c>
      <c r="N8" s="12">
        <f>IF(N$4="","",'Contracts Y2'!J16)</f>
        <v/>
      </c>
      <c r="O8" s="12">
        <f>IF(O$4="","",'Contracts Y2'!J17)</f>
        <v/>
      </c>
      <c r="P8" s="12">
        <f>IF(P$4="","",'Contracts Y2'!J18)</f>
        <v/>
      </c>
      <c r="Q8" s="12">
        <f>IF(Q$4="","",'Contracts Y2'!J19)</f>
        <v/>
      </c>
      <c r="R8" s="12">
        <f>IF(R$4="","",'Contracts Y2'!J20)</f>
        <v/>
      </c>
      <c r="S8" s="12">
        <f>IF(S$4="","",'Contracts Y2'!J21)</f>
        <v/>
      </c>
      <c r="T8" s="12">
        <f>IF(T$4="","",'Contracts Y2'!J22)</f>
        <v/>
      </c>
      <c r="U8" s="12">
        <f>IF(U$4="","",'Contracts Y2'!J23)</f>
        <v/>
      </c>
      <c r="V8" s="12">
        <f>IF(V$4="","",'Contracts Y2'!J24)</f>
        <v/>
      </c>
      <c r="W8" s="12">
        <f>IF(W$4="","",'Contracts Y2'!J25)</f>
        <v/>
      </c>
      <c r="X8" s="12">
        <f>IF(X$4="","",'Contracts Y2'!J26)</f>
        <v/>
      </c>
      <c r="Y8" s="12">
        <f>IF(Y$4="","",'Contracts Y2'!J27)</f>
        <v/>
      </c>
      <c r="Z8" s="12">
        <f>IF(Z$4="","",'Contracts Y2'!J28)</f>
        <v/>
      </c>
      <c r="AA8" s="12">
        <f>IF(AA$4="","",'Contracts Y2'!J29)</f>
        <v/>
      </c>
      <c r="AB8" s="12">
        <f>IF(AB$4="","",'Contracts Y2'!J30)</f>
        <v/>
      </c>
      <c r="AC8" s="12">
        <f>IF(AC$4="","",'Contracts Y2'!J31)</f>
        <v/>
      </c>
      <c r="AD8" s="12">
        <f>IF(AD$4="","",'Contracts Y2'!J32)</f>
        <v/>
      </c>
      <c r="AE8" s="12">
        <f>IF(AE$4="","",'Contracts Y2'!J33)</f>
        <v/>
      </c>
      <c r="AF8" s="12">
        <f>IF(AF$4="","",'Contracts Y2'!J34)</f>
        <v/>
      </c>
    </row>
    <row r="9">
      <c r="A9" s="4" t="inlineStr">
        <is>
          <t>Less other direct contract expenses</t>
        </is>
      </c>
      <c r="B9" s="12">
        <f>SUM('Contracts Y2'!K$5:K$34)</f>
        <v/>
      </c>
      <c r="C9" s="12">
        <f>IF(C$4="","",N('Contracts Y2'!K5))</f>
        <v/>
      </c>
      <c r="D9" s="12">
        <f>IF(D$4="","",N('Contracts Y2'!K6))</f>
        <v/>
      </c>
      <c r="E9" s="12">
        <f>IF(E$4="","",N('Contracts Y2'!K7))</f>
        <v/>
      </c>
      <c r="F9" s="12">
        <f>IF(F$4="","",N('Contracts Y2'!K8))</f>
        <v/>
      </c>
      <c r="G9" s="12">
        <f>IF(G$4="","",N('Contracts Y2'!K9))</f>
        <v/>
      </c>
      <c r="H9" s="12">
        <f>IF(H$4="","",N('Contracts Y2'!K10))</f>
        <v/>
      </c>
      <c r="I9" s="12">
        <f>IF(I$4="","",N('Contracts Y2'!K11))</f>
        <v/>
      </c>
      <c r="J9" s="12">
        <f>IF(J$4="","",N('Contracts Y2'!K12))</f>
        <v/>
      </c>
      <c r="K9" s="12">
        <f>IF(K$4="","",N('Contracts Y2'!K13))</f>
        <v/>
      </c>
      <c r="L9" s="12">
        <f>IF(L$4="","",N('Contracts Y2'!K14))</f>
        <v/>
      </c>
      <c r="M9" s="12">
        <f>IF(M$4="","",N('Contracts Y2'!K15))</f>
        <v/>
      </c>
      <c r="N9" s="12">
        <f>IF(N$4="","",N('Contracts Y2'!K16))</f>
        <v/>
      </c>
      <c r="O9" s="12">
        <f>IF(O$4="","",N('Contracts Y2'!K17))</f>
        <v/>
      </c>
      <c r="P9" s="12">
        <f>IF(P$4="","",N('Contracts Y2'!K18))</f>
        <v/>
      </c>
      <c r="Q9" s="12">
        <f>IF(Q$4="","",N('Contracts Y2'!K19))</f>
        <v/>
      </c>
      <c r="R9" s="12">
        <f>IF(R$4="","",N('Contracts Y2'!K20))</f>
        <v/>
      </c>
      <c r="S9" s="12">
        <f>IF(S$4="","",N('Contracts Y2'!K21))</f>
        <v/>
      </c>
      <c r="T9" s="12">
        <f>IF(T$4="","",N('Contracts Y2'!K22))</f>
        <v/>
      </c>
      <c r="U9" s="12">
        <f>IF(U$4="","",N('Contracts Y2'!K23))</f>
        <v/>
      </c>
      <c r="V9" s="12">
        <f>IF(V$4="","",N('Contracts Y2'!K24))</f>
        <v/>
      </c>
      <c r="W9" s="12">
        <f>IF(W$4="","",N('Contracts Y2'!K25))</f>
        <v/>
      </c>
      <c r="X9" s="12">
        <f>IF(X$4="","",N('Contracts Y2'!K26))</f>
        <v/>
      </c>
      <c r="Y9" s="12">
        <f>IF(Y$4="","",N('Contracts Y2'!K27))</f>
        <v/>
      </c>
      <c r="Z9" s="12">
        <f>IF(Z$4="","",N('Contracts Y2'!K28))</f>
        <v/>
      </c>
      <c r="AA9" s="12">
        <f>IF(AA$4="","",N('Contracts Y2'!K29))</f>
        <v/>
      </c>
      <c r="AB9" s="12">
        <f>IF(AB$4="","",N('Contracts Y2'!K30))</f>
        <v/>
      </c>
      <c r="AC9" s="12">
        <f>IF(AC$4="","",N('Contracts Y2'!K31))</f>
        <v/>
      </c>
      <c r="AD9" s="12">
        <f>IF(AD$4="","",N('Contracts Y2'!K32))</f>
        <v/>
      </c>
      <c r="AE9" s="12">
        <f>IF(AE$4="","",N('Contracts Y2'!K33))</f>
        <v/>
      </c>
      <c r="AF9" s="12">
        <f>IF(AF$4="","",N('Contracts Y2'!K34))</f>
        <v/>
      </c>
    </row>
    <row r="10">
      <c r="A10" s="3" t="inlineStr">
        <is>
          <t>Contribution margin</t>
        </is>
      </c>
      <c r="B10" s="10">
        <f>B6-B7-B8-B9</f>
        <v/>
      </c>
      <c r="C10" s="10">
        <f>IF(C$4="","",C6-C7-C8-C9)</f>
        <v/>
      </c>
      <c r="D10" s="10">
        <f>IF(D$4="","",D6-D7-D8-D9)</f>
        <v/>
      </c>
      <c r="E10" s="10">
        <f>IF(E$4="","",E6-E7-E8-E9)</f>
        <v/>
      </c>
      <c r="F10" s="10">
        <f>IF(F$4="","",F6-F7-F8-F9)</f>
        <v/>
      </c>
      <c r="G10" s="10">
        <f>IF(G$4="","",G6-G7-G8-G9)</f>
        <v/>
      </c>
      <c r="H10" s="10">
        <f>IF(H$4="","",H6-H7-H8-H9)</f>
        <v/>
      </c>
      <c r="I10" s="10">
        <f>IF(I$4="","",I6-I7-I8-I9)</f>
        <v/>
      </c>
      <c r="J10" s="10">
        <f>IF(J$4="","",J6-J7-J8-J9)</f>
        <v/>
      </c>
      <c r="K10" s="10">
        <f>IF(K$4="","",K6-K7-K8-K9)</f>
        <v/>
      </c>
      <c r="L10" s="10">
        <f>IF(L$4="","",L6-L7-L8-L9)</f>
        <v/>
      </c>
      <c r="M10" s="10">
        <f>IF(M$4="","",M6-M7-M8-M9)</f>
        <v/>
      </c>
      <c r="N10" s="10">
        <f>IF(N$4="","",N6-N7-N8-N9)</f>
        <v/>
      </c>
      <c r="O10" s="10">
        <f>IF(O$4="","",O6-O7-O8-O9)</f>
        <v/>
      </c>
      <c r="P10" s="10">
        <f>IF(P$4="","",P6-P7-P8-P9)</f>
        <v/>
      </c>
      <c r="Q10" s="10">
        <f>IF(Q$4="","",Q6-Q7-Q8-Q9)</f>
        <v/>
      </c>
      <c r="R10" s="10">
        <f>IF(R$4="","",R6-R7-R8-R9)</f>
        <v/>
      </c>
      <c r="S10" s="10">
        <f>IF(S$4="","",S6-S7-S8-S9)</f>
        <v/>
      </c>
      <c r="T10" s="10">
        <f>IF(T$4="","",T6-T7-T8-T9)</f>
        <v/>
      </c>
      <c r="U10" s="10">
        <f>IF(U$4="","",U6-U7-U8-U9)</f>
        <v/>
      </c>
      <c r="V10" s="10">
        <f>IF(V$4="","",V6-V7-V8-V9)</f>
        <v/>
      </c>
      <c r="W10" s="10">
        <f>IF(W$4="","",W6-W7-W8-W9)</f>
        <v/>
      </c>
      <c r="X10" s="10">
        <f>IF(X$4="","",X6-X7-X8-X9)</f>
        <v/>
      </c>
      <c r="Y10" s="10">
        <f>IF(Y$4="","",Y6-Y7-Y8-Y9)</f>
        <v/>
      </c>
      <c r="Z10" s="10">
        <f>IF(Z$4="","",Z6-Z7-Z8-Z9)</f>
        <v/>
      </c>
      <c r="AA10" s="10">
        <f>IF(AA$4="","",AA6-AA7-AA8-AA9)</f>
        <v/>
      </c>
      <c r="AB10" s="10">
        <f>IF(AB$4="","",AB6-AB7-AB8-AB9)</f>
        <v/>
      </c>
      <c r="AC10" s="10">
        <f>IF(AC$4="","",AC6-AC7-AC8-AC9)</f>
        <v/>
      </c>
      <c r="AD10" s="10">
        <f>IF(AD$4="","",AD6-AD7-AD8-AD9)</f>
        <v/>
      </c>
      <c r="AE10" s="10">
        <f>IF(AE$4="","",AE6-AE7-AE8-AE9)</f>
        <v/>
      </c>
      <c r="AF10" s="10">
        <f>IF(AF$4="","",AF6-AF7-AF8-AF9)</f>
        <v/>
      </c>
    </row>
    <row r="11">
      <c r="A11" s="4" t="inlineStr">
        <is>
          <t>Less fixed operating expenses</t>
        </is>
      </c>
      <c r="B11" s="12">
        <f>FixedTotal</f>
        <v/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</row>
    <row r="12">
      <c r="A12" s="3" t="inlineStr">
        <is>
          <t>Operating profit</t>
        </is>
      </c>
      <c r="B12" s="10">
        <f>B10-B11</f>
        <v/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>
      <c r="A13" s="4" t="inlineStr">
        <is>
          <t>CM %</t>
        </is>
      </c>
      <c r="B13" s="15">
        <f>IF(B6=0,"",B10/B6)</f>
        <v/>
      </c>
      <c r="C13" s="15">
        <f>IF(N(C6)=0,"",C10/C6)</f>
        <v/>
      </c>
      <c r="D13" s="15">
        <f>IF(N(D6)=0,"",D10/D6)</f>
        <v/>
      </c>
      <c r="E13" s="15">
        <f>IF(N(E6)=0,"",E10/E6)</f>
        <v/>
      </c>
      <c r="F13" s="15">
        <f>IF(N(F6)=0,"",F10/F6)</f>
        <v/>
      </c>
      <c r="G13" s="15">
        <f>IF(N(G6)=0,"",G10/G6)</f>
        <v/>
      </c>
      <c r="H13" s="15">
        <f>IF(N(H6)=0,"",H10/H6)</f>
        <v/>
      </c>
      <c r="I13" s="15">
        <f>IF(N(I6)=0,"",I10/I6)</f>
        <v/>
      </c>
      <c r="J13" s="15">
        <f>IF(N(J6)=0,"",J10/J6)</f>
        <v/>
      </c>
      <c r="K13" s="15">
        <f>IF(N(K6)=0,"",K10/K6)</f>
        <v/>
      </c>
      <c r="L13" s="15">
        <f>IF(N(L6)=0,"",L10/L6)</f>
        <v/>
      </c>
      <c r="M13" s="15">
        <f>IF(N(M6)=0,"",M10/M6)</f>
        <v/>
      </c>
      <c r="N13" s="15">
        <f>IF(N(N6)=0,"",N10/N6)</f>
        <v/>
      </c>
      <c r="O13" s="15">
        <f>IF(N(O6)=0,"",O10/O6)</f>
        <v/>
      </c>
      <c r="P13" s="15">
        <f>IF(N(P6)=0,"",P10/P6)</f>
        <v/>
      </c>
      <c r="Q13" s="15">
        <f>IF(N(Q6)=0,"",Q10/Q6)</f>
        <v/>
      </c>
      <c r="R13" s="15">
        <f>IF(N(R6)=0,"",R10/R6)</f>
        <v/>
      </c>
      <c r="S13" s="15">
        <f>IF(N(S6)=0,"",S10/S6)</f>
        <v/>
      </c>
      <c r="T13" s="15">
        <f>IF(N(T6)=0,"",T10/T6)</f>
        <v/>
      </c>
      <c r="U13" s="15">
        <f>IF(N(U6)=0,"",U10/U6)</f>
        <v/>
      </c>
      <c r="V13" s="15">
        <f>IF(N(V6)=0,"",V10/V6)</f>
        <v/>
      </c>
      <c r="W13" s="15">
        <f>IF(N(W6)=0,"",W10/W6)</f>
        <v/>
      </c>
      <c r="X13" s="15">
        <f>IF(N(X6)=0,"",X10/X6)</f>
        <v/>
      </c>
      <c r="Y13" s="15">
        <f>IF(N(Y6)=0,"",Y10/Y6)</f>
        <v/>
      </c>
      <c r="Z13" s="15">
        <f>IF(N(Z6)=0,"",Z10/Z6)</f>
        <v/>
      </c>
      <c r="AA13" s="15">
        <f>IF(N(AA6)=0,"",AA10/AA6)</f>
        <v/>
      </c>
      <c r="AB13" s="15">
        <f>IF(N(AB6)=0,"",AB10/AB6)</f>
        <v/>
      </c>
      <c r="AC13" s="15">
        <f>IF(N(AC6)=0,"",AC10/AC6)</f>
        <v/>
      </c>
      <c r="AD13" s="15">
        <f>IF(N(AD6)=0,"",AD10/AD6)</f>
        <v/>
      </c>
      <c r="AE13" s="15">
        <f>IF(N(AE6)=0,"",AE10/AE6)</f>
        <v/>
      </c>
      <c r="AF13" s="15">
        <f>IF(N(AF6)=0,"",AF10/AF6)</f>
        <v/>
      </c>
    </row>
    <row r="14">
      <c r="A14" s="4" t="inlineStr">
        <is>
          <t>Operating margin %</t>
        </is>
      </c>
      <c r="B14" s="15">
        <f>IF(B6=0,"",B12/B6)</f>
        <v/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4" t="inlineStr">
        <is>
          <t>Share of market (revenue / market size)</t>
        </is>
      </c>
      <c r="B15" s="15">
        <f>IF(N(Inputs!$B$34)=0,"",B6/Inputs!$B$34)</f>
        <v/>
      </c>
      <c r="C15" s="15">
        <f>IF(OR(C$4="",N(Inputs!$B$34)=0),"",C6/Inputs!$B$34)</f>
        <v/>
      </c>
      <c r="D15" s="15">
        <f>IF(OR(D$4="",N(Inputs!$B$34)=0),"",D6/Inputs!$B$34)</f>
        <v/>
      </c>
      <c r="E15" s="15">
        <f>IF(OR(E$4="",N(Inputs!$B$34)=0),"",E6/Inputs!$B$34)</f>
        <v/>
      </c>
      <c r="F15" s="15">
        <f>IF(OR(F$4="",N(Inputs!$B$34)=0),"",F6/Inputs!$B$34)</f>
        <v/>
      </c>
      <c r="G15" s="15">
        <f>IF(OR(G$4="",N(Inputs!$B$34)=0),"",G6/Inputs!$B$34)</f>
        <v/>
      </c>
      <c r="H15" s="15">
        <f>IF(OR(H$4="",N(Inputs!$B$34)=0),"",H6/Inputs!$B$34)</f>
        <v/>
      </c>
      <c r="I15" s="15">
        <f>IF(OR(I$4="",N(Inputs!$B$34)=0),"",I6/Inputs!$B$34)</f>
        <v/>
      </c>
      <c r="J15" s="15">
        <f>IF(OR(J$4="",N(Inputs!$B$34)=0),"",J6/Inputs!$B$34)</f>
        <v/>
      </c>
      <c r="K15" s="15">
        <f>IF(OR(K$4="",N(Inputs!$B$34)=0),"",K6/Inputs!$B$34)</f>
        <v/>
      </c>
      <c r="L15" s="15">
        <f>IF(OR(L$4="",N(Inputs!$B$34)=0),"",L6/Inputs!$B$34)</f>
        <v/>
      </c>
      <c r="M15" s="15">
        <f>IF(OR(M$4="",N(Inputs!$B$34)=0),"",M6/Inputs!$B$34)</f>
        <v/>
      </c>
      <c r="N15" s="15">
        <f>IF(OR(N$4="",N(Inputs!$B$34)=0),"",N6/Inputs!$B$34)</f>
        <v/>
      </c>
      <c r="O15" s="15">
        <f>IF(OR(O$4="",N(Inputs!$B$34)=0),"",O6/Inputs!$B$34)</f>
        <v/>
      </c>
      <c r="P15" s="15">
        <f>IF(OR(P$4="",N(Inputs!$B$34)=0),"",P6/Inputs!$B$34)</f>
        <v/>
      </c>
      <c r="Q15" s="15">
        <f>IF(OR(Q$4="",N(Inputs!$B$34)=0),"",Q6/Inputs!$B$34)</f>
        <v/>
      </c>
      <c r="R15" s="15">
        <f>IF(OR(R$4="",N(Inputs!$B$34)=0),"",R6/Inputs!$B$34)</f>
        <v/>
      </c>
      <c r="S15" s="15">
        <f>IF(OR(S$4="",N(Inputs!$B$34)=0),"",S6/Inputs!$B$34)</f>
        <v/>
      </c>
      <c r="T15" s="15">
        <f>IF(OR(T$4="",N(Inputs!$B$34)=0),"",T6/Inputs!$B$34)</f>
        <v/>
      </c>
      <c r="U15" s="15">
        <f>IF(OR(U$4="",N(Inputs!$B$34)=0),"",U6/Inputs!$B$34)</f>
        <v/>
      </c>
      <c r="V15" s="15">
        <f>IF(OR(V$4="",N(Inputs!$B$34)=0),"",V6/Inputs!$B$34)</f>
        <v/>
      </c>
      <c r="W15" s="15">
        <f>IF(OR(W$4="",N(Inputs!$B$34)=0),"",W6/Inputs!$B$34)</f>
        <v/>
      </c>
      <c r="X15" s="15">
        <f>IF(OR(X$4="",N(Inputs!$B$34)=0),"",X6/Inputs!$B$34)</f>
        <v/>
      </c>
      <c r="Y15" s="15">
        <f>IF(OR(Y$4="",N(Inputs!$B$34)=0),"",Y6/Inputs!$B$34)</f>
        <v/>
      </c>
      <c r="Z15" s="15">
        <f>IF(OR(Z$4="",N(Inputs!$B$34)=0),"",Z6/Inputs!$B$34)</f>
        <v/>
      </c>
      <c r="AA15" s="15">
        <f>IF(OR(AA$4="",N(Inputs!$B$34)=0),"",AA6/Inputs!$B$34)</f>
        <v/>
      </c>
      <c r="AB15" s="15">
        <f>IF(OR(AB$4="",N(Inputs!$B$34)=0),"",AB6/Inputs!$B$34)</f>
        <v/>
      </c>
      <c r="AC15" s="15">
        <f>IF(OR(AC$4="",N(Inputs!$B$34)=0),"",AC6/Inputs!$B$34)</f>
        <v/>
      </c>
      <c r="AD15" s="15">
        <f>IF(OR(AD$4="",N(Inputs!$B$34)=0),"",AD6/Inputs!$B$34)</f>
        <v/>
      </c>
      <c r="AE15" s="15">
        <f>IF(OR(AE$4="",N(Inputs!$B$34)=0),"",AE6/Inputs!$B$34)</f>
        <v/>
      </c>
      <c r="AF15" s="15">
        <f>IF(OR(AF$4="",N(Inputs!$B$34)=0),"",AF6/Inputs!$B$34)</f>
        <v/>
      </c>
    </row>
    <row r="17">
      <c r="A17" s="2" t="inlineStr">
        <is>
          <t>Fixed expenses, operating profit and operating margin are reported for the year only, not per contract.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O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2" customWidth="1" min="5" max="5"/>
    <col width="11" customWidth="1" min="6" max="6"/>
    <col width="12" customWidth="1" min="7" max="7"/>
    <col width="13" customWidth="1" min="8" max="8"/>
    <col width="13" customWidth="1" min="9" max="9"/>
    <col width="13" customWidth="1" min="10" max="10"/>
    <col width="12" customWidth="1" min="11" max="11"/>
    <col width="14" customWidth="1" min="12" max="12"/>
    <col width="9" customWidth="1" min="13" max="13"/>
    <col width="15" customWidth="1" min="14" max="14"/>
    <col width="13" customWidth="1" min="15" max="15"/>
  </cols>
  <sheetData>
    <row r="1">
      <c r="A1" s="1" t="inlineStr">
        <is>
          <t>Year 3 contracts won</t>
        </is>
      </c>
    </row>
    <row r="2">
      <c r="A2" s="2" t="inlineStr">
        <is>
          <t>Type Contract ID, Spec, Accepted qty and Price (blue cells) in any empty row; every other column calculates. Each contract is its own purchase order.</t>
        </is>
      </c>
    </row>
    <row r="3">
      <c r="A3" s="2" t="inlineStr">
        <is>
          <t>Orange price = outside the case price range (Inputs B8:B9). Other direct defaults to 0.</t>
        </is>
      </c>
    </row>
    <row r="4" ht="42" customHeight="1">
      <c r="A4" s="8" t="inlineStr">
        <is>
          <t>Contract ID</t>
        </is>
      </c>
      <c r="B4" s="8" t="inlineStr">
        <is>
          <t>Spec</t>
        </is>
      </c>
      <c r="C4" s="8" t="inlineStr">
        <is>
          <t>Accepted qty (BB)</t>
        </is>
      </c>
      <c r="D4" s="8" t="inlineStr">
        <is>
          <t>Price per BB ($)</t>
        </is>
      </c>
      <c r="E4" s="8" t="inlineStr">
        <is>
          <t>Production qty (BB)</t>
        </is>
      </c>
      <c r="F4" s="8" t="inlineStr">
        <is>
          <t>Rejected qty (BB)</t>
        </is>
      </c>
      <c r="G4" s="8" t="inlineStr">
        <is>
          <t>RM price per BB ($)</t>
        </is>
      </c>
      <c r="H4" s="8" t="inlineStr">
        <is>
          <t>Revenue ($)</t>
        </is>
      </c>
      <c r="I4" s="8" t="inlineStr">
        <is>
          <t>Raw materials ($)</t>
        </is>
      </c>
      <c r="J4" s="8" t="inlineStr">
        <is>
          <t>Wages ($)</t>
        </is>
      </c>
      <c r="K4" s="8" t="inlineStr">
        <is>
          <t>Other direct ($)</t>
        </is>
      </c>
      <c r="L4" s="8" t="inlineStr">
        <is>
          <t>Contribution margin ($)</t>
        </is>
      </c>
      <c r="M4" s="8" t="inlineStr">
        <is>
          <t>CM %</t>
        </is>
      </c>
      <c r="N4" s="8" t="inlineStr">
        <is>
          <t>Break-even price per accepted BB ($)</t>
        </is>
      </c>
      <c r="O4" s="8" t="inlineStr">
        <is>
          <t>Price vs break-even ($)</t>
        </is>
      </c>
    </row>
    <row r="5">
      <c r="A5" s="18" t="n"/>
      <c r="B5" s="18" t="n"/>
      <c r="C5" s="19" t="n"/>
      <c r="D5" s="20" t="n"/>
      <c r="E5" s="21">
        <f>IF($A5="","",ROUNDUP(C5/(1-RejRate),0))</f>
        <v/>
      </c>
      <c r="F5" s="21">
        <f>IF($A5="","",E5-C5)</f>
        <v/>
      </c>
      <c r="G5" s="22">
        <f>IF($A5="","",IF(B5="Gold",GoldPrice,INDEX(TierPrices,MATCH(E5,TierQty,1),MATCH(B5,TierSpecs,0))))</f>
        <v/>
      </c>
      <c r="H5" s="22">
        <f>IF($A5="","",C5*D5)</f>
        <v/>
      </c>
      <c r="I5" s="22">
        <f>IF($A5="","",E5*G5)</f>
        <v/>
      </c>
      <c r="J5" s="22">
        <f>IF($A5="","",I5*WageCoef)</f>
        <v/>
      </c>
      <c r="K5" s="20" t="n"/>
      <c r="L5" s="22">
        <f>IF($A5="","",H5-I5-J5-N(K5))</f>
        <v/>
      </c>
      <c r="M5" s="23">
        <f>IF(OR($A5="",N(H5)=0),"",L5/H5)</f>
        <v/>
      </c>
      <c r="N5" s="22">
        <f>IF(OR($A5="",N(C5)=0),"",(E5*G5*(1+WageCoef)+N(K5))/C5)</f>
        <v/>
      </c>
      <c r="O5" s="22">
        <f>IF(OR($A5="",N5=""),"",D5-N5)</f>
        <v/>
      </c>
    </row>
    <row r="6">
      <c r="A6" s="18" t="n"/>
      <c r="B6" s="18" t="n"/>
      <c r="C6" s="19" t="n"/>
      <c r="D6" s="20" t="n"/>
      <c r="E6" s="21">
        <f>IF($A6="","",ROUNDUP(C6/(1-RejRate),0))</f>
        <v/>
      </c>
      <c r="F6" s="21">
        <f>IF($A6="","",E6-C6)</f>
        <v/>
      </c>
      <c r="G6" s="22">
        <f>IF($A6="","",IF(B6="Gold",GoldPrice,INDEX(TierPrices,MATCH(E6,TierQty,1),MATCH(B6,TierSpecs,0))))</f>
        <v/>
      </c>
      <c r="H6" s="22">
        <f>IF($A6="","",C6*D6)</f>
        <v/>
      </c>
      <c r="I6" s="22">
        <f>IF($A6="","",E6*G6)</f>
        <v/>
      </c>
      <c r="J6" s="22">
        <f>IF($A6="","",I6*WageCoef)</f>
        <v/>
      </c>
      <c r="K6" s="20" t="n"/>
      <c r="L6" s="22">
        <f>IF($A6="","",H6-I6-J6-N(K6))</f>
        <v/>
      </c>
      <c r="M6" s="23">
        <f>IF(OR($A6="",N(H6)=0),"",L6/H6)</f>
        <v/>
      </c>
      <c r="N6" s="22">
        <f>IF(OR($A6="",N(C6)=0),"",(E6*G6*(1+WageCoef)+N(K6))/C6)</f>
        <v/>
      </c>
      <c r="O6" s="22">
        <f>IF(OR($A6="",N6=""),"",D6-N6)</f>
        <v/>
      </c>
    </row>
    <row r="7">
      <c r="A7" s="18" t="n"/>
      <c r="B7" s="18" t="n"/>
      <c r="C7" s="19" t="n"/>
      <c r="D7" s="20" t="n"/>
      <c r="E7" s="21">
        <f>IF($A7="","",ROUNDUP(C7/(1-RejRate),0))</f>
        <v/>
      </c>
      <c r="F7" s="21">
        <f>IF($A7="","",E7-C7)</f>
        <v/>
      </c>
      <c r="G7" s="22">
        <f>IF($A7="","",IF(B7="Gold",GoldPrice,INDEX(TierPrices,MATCH(E7,TierQty,1),MATCH(B7,TierSpecs,0))))</f>
        <v/>
      </c>
      <c r="H7" s="22">
        <f>IF($A7="","",C7*D7)</f>
        <v/>
      </c>
      <c r="I7" s="22">
        <f>IF($A7="","",E7*G7)</f>
        <v/>
      </c>
      <c r="J7" s="22">
        <f>IF($A7="","",I7*WageCoef)</f>
        <v/>
      </c>
      <c r="K7" s="20" t="n"/>
      <c r="L7" s="22">
        <f>IF($A7="","",H7-I7-J7-N(K7))</f>
        <v/>
      </c>
      <c r="M7" s="23">
        <f>IF(OR($A7="",N(H7)=0),"",L7/H7)</f>
        <v/>
      </c>
      <c r="N7" s="22">
        <f>IF(OR($A7="",N(C7)=0),"",(E7*G7*(1+WageCoef)+N(K7))/C7)</f>
        <v/>
      </c>
      <c r="O7" s="22">
        <f>IF(OR($A7="",N7=""),"",D7-N7)</f>
        <v/>
      </c>
    </row>
    <row r="8">
      <c r="A8" s="18" t="n"/>
      <c r="B8" s="18" t="n"/>
      <c r="C8" s="19" t="n"/>
      <c r="D8" s="20" t="n"/>
      <c r="E8" s="21">
        <f>IF($A8="","",ROUNDUP(C8/(1-RejRate),0))</f>
        <v/>
      </c>
      <c r="F8" s="21">
        <f>IF($A8="","",E8-C8)</f>
        <v/>
      </c>
      <c r="G8" s="22">
        <f>IF($A8="","",IF(B8="Gold",GoldPrice,INDEX(TierPrices,MATCH(E8,TierQty,1),MATCH(B8,TierSpecs,0))))</f>
        <v/>
      </c>
      <c r="H8" s="22">
        <f>IF($A8="","",C8*D8)</f>
        <v/>
      </c>
      <c r="I8" s="22">
        <f>IF($A8="","",E8*G8)</f>
        <v/>
      </c>
      <c r="J8" s="22">
        <f>IF($A8="","",I8*WageCoef)</f>
        <v/>
      </c>
      <c r="K8" s="20" t="n"/>
      <c r="L8" s="22">
        <f>IF($A8="","",H8-I8-J8-N(K8))</f>
        <v/>
      </c>
      <c r="M8" s="23">
        <f>IF(OR($A8="",N(H8)=0),"",L8/H8)</f>
        <v/>
      </c>
      <c r="N8" s="22">
        <f>IF(OR($A8="",N(C8)=0),"",(E8*G8*(1+WageCoef)+N(K8))/C8)</f>
        <v/>
      </c>
      <c r="O8" s="22">
        <f>IF(OR($A8="",N8=""),"",D8-N8)</f>
        <v/>
      </c>
    </row>
    <row r="9">
      <c r="A9" s="18" t="n"/>
      <c r="B9" s="18" t="n"/>
      <c r="C9" s="19" t="n"/>
      <c r="D9" s="20" t="n"/>
      <c r="E9" s="21">
        <f>IF($A9="","",ROUNDUP(C9/(1-RejRate),0))</f>
        <v/>
      </c>
      <c r="F9" s="21">
        <f>IF($A9="","",E9-C9)</f>
        <v/>
      </c>
      <c r="G9" s="22">
        <f>IF($A9="","",IF(B9="Gold",GoldPrice,INDEX(TierPrices,MATCH(E9,TierQty,1),MATCH(B9,TierSpecs,0))))</f>
        <v/>
      </c>
      <c r="H9" s="22">
        <f>IF($A9="","",C9*D9)</f>
        <v/>
      </c>
      <c r="I9" s="22">
        <f>IF($A9="","",E9*G9)</f>
        <v/>
      </c>
      <c r="J9" s="22">
        <f>IF($A9="","",I9*WageCoef)</f>
        <v/>
      </c>
      <c r="K9" s="20" t="n"/>
      <c r="L9" s="22">
        <f>IF($A9="","",H9-I9-J9-N(K9))</f>
        <v/>
      </c>
      <c r="M9" s="23">
        <f>IF(OR($A9="",N(H9)=0),"",L9/H9)</f>
        <v/>
      </c>
      <c r="N9" s="22">
        <f>IF(OR($A9="",N(C9)=0),"",(E9*G9*(1+WageCoef)+N(K9))/C9)</f>
        <v/>
      </c>
      <c r="O9" s="22">
        <f>IF(OR($A9="",N9=""),"",D9-N9)</f>
        <v/>
      </c>
    </row>
    <row r="10">
      <c r="A10" s="18" t="n"/>
      <c r="B10" s="18" t="n"/>
      <c r="C10" s="19" t="n"/>
      <c r="D10" s="20" t="n"/>
      <c r="E10" s="21">
        <f>IF($A10="","",ROUNDUP(C10/(1-RejRate),0))</f>
        <v/>
      </c>
      <c r="F10" s="21">
        <f>IF($A10="","",E10-C10)</f>
        <v/>
      </c>
      <c r="G10" s="22">
        <f>IF($A10="","",IF(B10="Gold",GoldPrice,INDEX(TierPrices,MATCH(E10,TierQty,1),MATCH(B10,TierSpecs,0))))</f>
        <v/>
      </c>
      <c r="H10" s="22">
        <f>IF($A10="","",C10*D10)</f>
        <v/>
      </c>
      <c r="I10" s="22">
        <f>IF($A10="","",E10*G10)</f>
        <v/>
      </c>
      <c r="J10" s="22">
        <f>IF($A10="","",I10*WageCoef)</f>
        <v/>
      </c>
      <c r="K10" s="20" t="n"/>
      <c r="L10" s="22">
        <f>IF($A10="","",H10-I10-J10-N(K10))</f>
        <v/>
      </c>
      <c r="M10" s="23">
        <f>IF(OR($A10="",N(H10)=0),"",L10/H10)</f>
        <v/>
      </c>
      <c r="N10" s="22">
        <f>IF(OR($A10="",N(C10)=0),"",(E10*G10*(1+WageCoef)+N(K10))/C10)</f>
        <v/>
      </c>
      <c r="O10" s="22">
        <f>IF(OR($A10="",N10=""),"",D10-N10)</f>
        <v/>
      </c>
    </row>
    <row r="11">
      <c r="A11" s="18" t="n"/>
      <c r="B11" s="18" t="n"/>
      <c r="C11" s="19" t="n"/>
      <c r="D11" s="20" t="n"/>
      <c r="E11" s="21">
        <f>IF($A11="","",ROUNDUP(C11/(1-RejRate),0))</f>
        <v/>
      </c>
      <c r="F11" s="21">
        <f>IF($A11="","",E11-C11)</f>
        <v/>
      </c>
      <c r="G11" s="22">
        <f>IF($A11="","",IF(B11="Gold",GoldPrice,INDEX(TierPrices,MATCH(E11,TierQty,1),MATCH(B11,TierSpecs,0))))</f>
        <v/>
      </c>
      <c r="H11" s="22">
        <f>IF($A11="","",C11*D11)</f>
        <v/>
      </c>
      <c r="I11" s="22">
        <f>IF($A11="","",E11*G11)</f>
        <v/>
      </c>
      <c r="J11" s="22">
        <f>IF($A11="","",I11*WageCoef)</f>
        <v/>
      </c>
      <c r="K11" s="20" t="n"/>
      <c r="L11" s="22">
        <f>IF($A11="","",H11-I11-J11-N(K11))</f>
        <v/>
      </c>
      <c r="M11" s="23">
        <f>IF(OR($A11="",N(H11)=0),"",L11/H11)</f>
        <v/>
      </c>
      <c r="N11" s="22">
        <f>IF(OR($A11="",N(C11)=0),"",(E11*G11*(1+WageCoef)+N(K11))/C11)</f>
        <v/>
      </c>
      <c r="O11" s="22">
        <f>IF(OR($A11="",N11=""),"",D11-N11)</f>
        <v/>
      </c>
    </row>
    <row r="12">
      <c r="A12" s="18" t="n"/>
      <c r="B12" s="18" t="n"/>
      <c r="C12" s="19" t="n"/>
      <c r="D12" s="20" t="n"/>
      <c r="E12" s="21">
        <f>IF($A12="","",ROUNDUP(C12/(1-RejRate),0))</f>
        <v/>
      </c>
      <c r="F12" s="21">
        <f>IF($A12="","",E12-C12)</f>
        <v/>
      </c>
      <c r="G12" s="22">
        <f>IF($A12="","",IF(B12="Gold",GoldPrice,INDEX(TierPrices,MATCH(E12,TierQty,1),MATCH(B12,TierSpecs,0))))</f>
        <v/>
      </c>
      <c r="H12" s="22">
        <f>IF($A12="","",C12*D12)</f>
        <v/>
      </c>
      <c r="I12" s="22">
        <f>IF($A12="","",E12*G12)</f>
        <v/>
      </c>
      <c r="J12" s="22">
        <f>IF($A12="","",I12*WageCoef)</f>
        <v/>
      </c>
      <c r="K12" s="20" t="n"/>
      <c r="L12" s="22">
        <f>IF($A12="","",H12-I12-J12-N(K12))</f>
        <v/>
      </c>
      <c r="M12" s="23">
        <f>IF(OR($A12="",N(H12)=0),"",L12/H12)</f>
        <v/>
      </c>
      <c r="N12" s="22">
        <f>IF(OR($A12="",N(C12)=0),"",(E12*G12*(1+WageCoef)+N(K12))/C12)</f>
        <v/>
      </c>
      <c r="O12" s="22">
        <f>IF(OR($A12="",N12=""),"",D12-N12)</f>
        <v/>
      </c>
    </row>
    <row r="13">
      <c r="A13" s="18" t="n"/>
      <c r="B13" s="18" t="n"/>
      <c r="C13" s="19" t="n"/>
      <c r="D13" s="20" t="n"/>
      <c r="E13" s="21">
        <f>IF($A13="","",ROUNDUP(C13/(1-RejRate),0))</f>
        <v/>
      </c>
      <c r="F13" s="21">
        <f>IF($A13="","",E13-C13)</f>
        <v/>
      </c>
      <c r="G13" s="22">
        <f>IF($A13="","",IF(B13="Gold",GoldPrice,INDEX(TierPrices,MATCH(E13,TierQty,1),MATCH(B13,TierSpecs,0))))</f>
        <v/>
      </c>
      <c r="H13" s="22">
        <f>IF($A13="","",C13*D13)</f>
        <v/>
      </c>
      <c r="I13" s="22">
        <f>IF($A13="","",E13*G13)</f>
        <v/>
      </c>
      <c r="J13" s="22">
        <f>IF($A13="","",I13*WageCoef)</f>
        <v/>
      </c>
      <c r="K13" s="20" t="n"/>
      <c r="L13" s="22">
        <f>IF($A13="","",H13-I13-J13-N(K13))</f>
        <v/>
      </c>
      <c r="M13" s="23">
        <f>IF(OR($A13="",N(H13)=0),"",L13/H13)</f>
        <v/>
      </c>
      <c r="N13" s="22">
        <f>IF(OR($A13="",N(C13)=0),"",(E13*G13*(1+WageCoef)+N(K13))/C13)</f>
        <v/>
      </c>
      <c r="O13" s="22">
        <f>IF(OR($A13="",N13=""),"",D13-N13)</f>
        <v/>
      </c>
    </row>
    <row r="14">
      <c r="A14" s="18" t="n"/>
      <c r="B14" s="18" t="n"/>
      <c r="C14" s="19" t="n"/>
      <c r="D14" s="20" t="n"/>
      <c r="E14" s="21">
        <f>IF($A14="","",ROUNDUP(C14/(1-RejRate),0))</f>
        <v/>
      </c>
      <c r="F14" s="21">
        <f>IF($A14="","",E14-C14)</f>
        <v/>
      </c>
      <c r="G14" s="22">
        <f>IF($A14="","",IF(B14="Gold",GoldPrice,INDEX(TierPrices,MATCH(E14,TierQty,1),MATCH(B14,TierSpecs,0))))</f>
        <v/>
      </c>
      <c r="H14" s="22">
        <f>IF($A14="","",C14*D14)</f>
        <v/>
      </c>
      <c r="I14" s="22">
        <f>IF($A14="","",E14*G14)</f>
        <v/>
      </c>
      <c r="J14" s="22">
        <f>IF($A14="","",I14*WageCoef)</f>
        <v/>
      </c>
      <c r="K14" s="20" t="n"/>
      <c r="L14" s="22">
        <f>IF($A14="","",H14-I14-J14-N(K14))</f>
        <v/>
      </c>
      <c r="M14" s="23">
        <f>IF(OR($A14="",N(H14)=0),"",L14/H14)</f>
        <v/>
      </c>
      <c r="N14" s="22">
        <f>IF(OR($A14="",N(C14)=0),"",(E14*G14*(1+WageCoef)+N(K14))/C14)</f>
        <v/>
      </c>
      <c r="O14" s="22">
        <f>IF(OR($A14="",N14=""),"",D14-N14)</f>
        <v/>
      </c>
    </row>
    <row r="15">
      <c r="A15" s="18" t="n"/>
      <c r="B15" s="18" t="n"/>
      <c r="C15" s="19" t="n"/>
      <c r="D15" s="20" t="n"/>
      <c r="E15" s="21">
        <f>IF($A15="","",ROUNDUP(C15/(1-RejRate),0))</f>
        <v/>
      </c>
      <c r="F15" s="21">
        <f>IF($A15="","",E15-C15)</f>
        <v/>
      </c>
      <c r="G15" s="22">
        <f>IF($A15="","",IF(B15="Gold",GoldPrice,INDEX(TierPrices,MATCH(E15,TierQty,1),MATCH(B15,TierSpecs,0))))</f>
        <v/>
      </c>
      <c r="H15" s="22">
        <f>IF($A15="","",C15*D15)</f>
        <v/>
      </c>
      <c r="I15" s="22">
        <f>IF($A15="","",E15*G15)</f>
        <v/>
      </c>
      <c r="J15" s="22">
        <f>IF($A15="","",I15*WageCoef)</f>
        <v/>
      </c>
      <c r="K15" s="20" t="n"/>
      <c r="L15" s="22">
        <f>IF($A15="","",H15-I15-J15-N(K15))</f>
        <v/>
      </c>
      <c r="M15" s="23">
        <f>IF(OR($A15="",N(H15)=0),"",L15/H15)</f>
        <v/>
      </c>
      <c r="N15" s="22">
        <f>IF(OR($A15="",N(C15)=0),"",(E15*G15*(1+WageCoef)+N(K15))/C15)</f>
        <v/>
      </c>
      <c r="O15" s="22">
        <f>IF(OR($A15="",N15=""),"",D15-N15)</f>
        <v/>
      </c>
    </row>
    <row r="16">
      <c r="A16" s="18" t="n"/>
      <c r="B16" s="18" t="n"/>
      <c r="C16" s="19" t="n"/>
      <c r="D16" s="20" t="n"/>
      <c r="E16" s="21">
        <f>IF($A16="","",ROUNDUP(C16/(1-RejRate),0))</f>
        <v/>
      </c>
      <c r="F16" s="21">
        <f>IF($A16="","",E16-C16)</f>
        <v/>
      </c>
      <c r="G16" s="22">
        <f>IF($A16="","",IF(B16="Gold",GoldPrice,INDEX(TierPrices,MATCH(E16,TierQty,1),MATCH(B16,TierSpecs,0))))</f>
        <v/>
      </c>
      <c r="H16" s="22">
        <f>IF($A16="","",C16*D16)</f>
        <v/>
      </c>
      <c r="I16" s="22">
        <f>IF($A16="","",E16*G16)</f>
        <v/>
      </c>
      <c r="J16" s="22">
        <f>IF($A16="","",I16*WageCoef)</f>
        <v/>
      </c>
      <c r="K16" s="20" t="n"/>
      <c r="L16" s="22">
        <f>IF($A16="","",H16-I16-J16-N(K16))</f>
        <v/>
      </c>
      <c r="M16" s="23">
        <f>IF(OR($A16="",N(H16)=0),"",L16/H16)</f>
        <v/>
      </c>
      <c r="N16" s="22">
        <f>IF(OR($A16="",N(C16)=0),"",(E16*G16*(1+WageCoef)+N(K16))/C16)</f>
        <v/>
      </c>
      <c r="O16" s="22">
        <f>IF(OR($A16="",N16=""),"",D16-N16)</f>
        <v/>
      </c>
    </row>
    <row r="17">
      <c r="A17" s="18" t="n"/>
      <c r="B17" s="18" t="n"/>
      <c r="C17" s="19" t="n"/>
      <c r="D17" s="20" t="n"/>
      <c r="E17" s="21">
        <f>IF($A17="","",ROUNDUP(C17/(1-RejRate),0))</f>
        <v/>
      </c>
      <c r="F17" s="21">
        <f>IF($A17="","",E17-C17)</f>
        <v/>
      </c>
      <c r="G17" s="22">
        <f>IF($A17="","",IF(B17="Gold",GoldPrice,INDEX(TierPrices,MATCH(E17,TierQty,1),MATCH(B17,TierSpecs,0))))</f>
        <v/>
      </c>
      <c r="H17" s="22">
        <f>IF($A17="","",C17*D17)</f>
        <v/>
      </c>
      <c r="I17" s="22">
        <f>IF($A17="","",E17*G17)</f>
        <v/>
      </c>
      <c r="J17" s="22">
        <f>IF($A17="","",I17*WageCoef)</f>
        <v/>
      </c>
      <c r="K17" s="20" t="n"/>
      <c r="L17" s="22">
        <f>IF($A17="","",H17-I17-J17-N(K17))</f>
        <v/>
      </c>
      <c r="M17" s="23">
        <f>IF(OR($A17="",N(H17)=0),"",L17/H17)</f>
        <v/>
      </c>
      <c r="N17" s="22">
        <f>IF(OR($A17="",N(C17)=0),"",(E17*G17*(1+WageCoef)+N(K17))/C17)</f>
        <v/>
      </c>
      <c r="O17" s="22">
        <f>IF(OR($A17="",N17=""),"",D17-N17)</f>
        <v/>
      </c>
    </row>
    <row r="18">
      <c r="A18" s="18" t="n"/>
      <c r="B18" s="18" t="n"/>
      <c r="C18" s="19" t="n"/>
      <c r="D18" s="20" t="n"/>
      <c r="E18" s="21">
        <f>IF($A18="","",ROUNDUP(C18/(1-RejRate),0))</f>
        <v/>
      </c>
      <c r="F18" s="21">
        <f>IF($A18="","",E18-C18)</f>
        <v/>
      </c>
      <c r="G18" s="22">
        <f>IF($A18="","",IF(B18="Gold",GoldPrice,INDEX(TierPrices,MATCH(E18,TierQty,1),MATCH(B18,TierSpecs,0))))</f>
        <v/>
      </c>
      <c r="H18" s="22">
        <f>IF($A18="","",C18*D18)</f>
        <v/>
      </c>
      <c r="I18" s="22">
        <f>IF($A18="","",E18*G18)</f>
        <v/>
      </c>
      <c r="J18" s="22">
        <f>IF($A18="","",I18*WageCoef)</f>
        <v/>
      </c>
      <c r="K18" s="20" t="n"/>
      <c r="L18" s="22">
        <f>IF($A18="","",H18-I18-J18-N(K18))</f>
        <v/>
      </c>
      <c r="M18" s="23">
        <f>IF(OR($A18="",N(H18)=0),"",L18/H18)</f>
        <v/>
      </c>
      <c r="N18" s="22">
        <f>IF(OR($A18="",N(C18)=0),"",(E18*G18*(1+WageCoef)+N(K18))/C18)</f>
        <v/>
      </c>
      <c r="O18" s="22">
        <f>IF(OR($A18="",N18=""),"",D18-N18)</f>
        <v/>
      </c>
    </row>
    <row r="19">
      <c r="A19" s="18" t="n"/>
      <c r="B19" s="18" t="n"/>
      <c r="C19" s="19" t="n"/>
      <c r="D19" s="20" t="n"/>
      <c r="E19" s="21">
        <f>IF($A19="","",ROUNDUP(C19/(1-RejRate),0))</f>
        <v/>
      </c>
      <c r="F19" s="21">
        <f>IF($A19="","",E19-C19)</f>
        <v/>
      </c>
      <c r="G19" s="22">
        <f>IF($A19="","",IF(B19="Gold",GoldPrice,INDEX(TierPrices,MATCH(E19,TierQty,1),MATCH(B19,TierSpecs,0))))</f>
        <v/>
      </c>
      <c r="H19" s="22">
        <f>IF($A19="","",C19*D19)</f>
        <v/>
      </c>
      <c r="I19" s="22">
        <f>IF($A19="","",E19*G19)</f>
        <v/>
      </c>
      <c r="J19" s="22">
        <f>IF($A19="","",I19*WageCoef)</f>
        <v/>
      </c>
      <c r="K19" s="20" t="n"/>
      <c r="L19" s="22">
        <f>IF($A19="","",H19-I19-J19-N(K19))</f>
        <v/>
      </c>
      <c r="M19" s="23">
        <f>IF(OR($A19="",N(H19)=0),"",L19/H19)</f>
        <v/>
      </c>
      <c r="N19" s="22">
        <f>IF(OR($A19="",N(C19)=0),"",(E19*G19*(1+WageCoef)+N(K19))/C19)</f>
        <v/>
      </c>
      <c r="O19" s="22">
        <f>IF(OR($A19="",N19=""),"",D19-N19)</f>
        <v/>
      </c>
    </row>
    <row r="20">
      <c r="A20" s="18" t="n"/>
      <c r="B20" s="18" t="n"/>
      <c r="C20" s="19" t="n"/>
      <c r="D20" s="20" t="n"/>
      <c r="E20" s="21">
        <f>IF($A20="","",ROUNDUP(C20/(1-RejRate),0))</f>
        <v/>
      </c>
      <c r="F20" s="21">
        <f>IF($A20="","",E20-C20)</f>
        <v/>
      </c>
      <c r="G20" s="22">
        <f>IF($A20="","",IF(B20="Gold",GoldPrice,INDEX(TierPrices,MATCH(E20,TierQty,1),MATCH(B20,TierSpecs,0))))</f>
        <v/>
      </c>
      <c r="H20" s="22">
        <f>IF($A20="","",C20*D20)</f>
        <v/>
      </c>
      <c r="I20" s="22">
        <f>IF($A20="","",E20*G20)</f>
        <v/>
      </c>
      <c r="J20" s="22">
        <f>IF($A20="","",I20*WageCoef)</f>
        <v/>
      </c>
      <c r="K20" s="20" t="n"/>
      <c r="L20" s="22">
        <f>IF($A20="","",H20-I20-J20-N(K20))</f>
        <v/>
      </c>
      <c r="M20" s="23">
        <f>IF(OR($A20="",N(H20)=0),"",L20/H20)</f>
        <v/>
      </c>
      <c r="N20" s="22">
        <f>IF(OR($A20="",N(C20)=0),"",(E20*G20*(1+WageCoef)+N(K20))/C20)</f>
        <v/>
      </c>
      <c r="O20" s="22">
        <f>IF(OR($A20="",N20=""),"",D20-N20)</f>
        <v/>
      </c>
    </row>
    <row r="21">
      <c r="A21" s="18" t="n"/>
      <c r="B21" s="18" t="n"/>
      <c r="C21" s="19" t="n"/>
      <c r="D21" s="20" t="n"/>
      <c r="E21" s="21">
        <f>IF($A21="","",ROUNDUP(C21/(1-RejRate),0))</f>
        <v/>
      </c>
      <c r="F21" s="21">
        <f>IF($A21="","",E21-C21)</f>
        <v/>
      </c>
      <c r="G21" s="22">
        <f>IF($A21="","",IF(B21="Gold",GoldPrice,INDEX(TierPrices,MATCH(E21,TierQty,1),MATCH(B21,TierSpecs,0))))</f>
        <v/>
      </c>
      <c r="H21" s="22">
        <f>IF($A21="","",C21*D21)</f>
        <v/>
      </c>
      <c r="I21" s="22">
        <f>IF($A21="","",E21*G21)</f>
        <v/>
      </c>
      <c r="J21" s="22">
        <f>IF($A21="","",I21*WageCoef)</f>
        <v/>
      </c>
      <c r="K21" s="20" t="n"/>
      <c r="L21" s="22">
        <f>IF($A21="","",H21-I21-J21-N(K21))</f>
        <v/>
      </c>
      <c r="M21" s="23">
        <f>IF(OR($A21="",N(H21)=0),"",L21/H21)</f>
        <v/>
      </c>
      <c r="N21" s="22">
        <f>IF(OR($A21="",N(C21)=0),"",(E21*G21*(1+WageCoef)+N(K21))/C21)</f>
        <v/>
      </c>
      <c r="O21" s="22">
        <f>IF(OR($A21="",N21=""),"",D21-N21)</f>
        <v/>
      </c>
    </row>
    <row r="22">
      <c r="A22" s="18" t="n"/>
      <c r="B22" s="18" t="n"/>
      <c r="C22" s="19" t="n"/>
      <c r="D22" s="20" t="n"/>
      <c r="E22" s="21">
        <f>IF($A22="","",ROUNDUP(C22/(1-RejRate),0))</f>
        <v/>
      </c>
      <c r="F22" s="21">
        <f>IF($A22="","",E22-C22)</f>
        <v/>
      </c>
      <c r="G22" s="22">
        <f>IF($A22="","",IF(B22="Gold",GoldPrice,INDEX(TierPrices,MATCH(E22,TierQty,1),MATCH(B22,TierSpecs,0))))</f>
        <v/>
      </c>
      <c r="H22" s="22">
        <f>IF($A22="","",C22*D22)</f>
        <v/>
      </c>
      <c r="I22" s="22">
        <f>IF($A22="","",E22*G22)</f>
        <v/>
      </c>
      <c r="J22" s="22">
        <f>IF($A22="","",I22*WageCoef)</f>
        <v/>
      </c>
      <c r="K22" s="20" t="n"/>
      <c r="L22" s="22">
        <f>IF($A22="","",H22-I22-J22-N(K22))</f>
        <v/>
      </c>
      <c r="M22" s="23">
        <f>IF(OR($A22="",N(H22)=0),"",L22/H22)</f>
        <v/>
      </c>
      <c r="N22" s="22">
        <f>IF(OR($A22="",N(C22)=0),"",(E22*G22*(1+WageCoef)+N(K22))/C22)</f>
        <v/>
      </c>
      <c r="O22" s="22">
        <f>IF(OR($A22="",N22=""),"",D22-N22)</f>
        <v/>
      </c>
    </row>
    <row r="23">
      <c r="A23" s="18" t="n"/>
      <c r="B23" s="18" t="n"/>
      <c r="C23" s="19" t="n"/>
      <c r="D23" s="20" t="n"/>
      <c r="E23" s="21">
        <f>IF($A23="","",ROUNDUP(C23/(1-RejRate),0))</f>
        <v/>
      </c>
      <c r="F23" s="21">
        <f>IF($A23="","",E23-C23)</f>
        <v/>
      </c>
      <c r="G23" s="22">
        <f>IF($A23="","",IF(B23="Gold",GoldPrice,INDEX(TierPrices,MATCH(E23,TierQty,1),MATCH(B23,TierSpecs,0))))</f>
        <v/>
      </c>
      <c r="H23" s="22">
        <f>IF($A23="","",C23*D23)</f>
        <v/>
      </c>
      <c r="I23" s="22">
        <f>IF($A23="","",E23*G23)</f>
        <v/>
      </c>
      <c r="J23" s="22">
        <f>IF($A23="","",I23*WageCoef)</f>
        <v/>
      </c>
      <c r="K23" s="20" t="n"/>
      <c r="L23" s="22">
        <f>IF($A23="","",H23-I23-J23-N(K23))</f>
        <v/>
      </c>
      <c r="M23" s="23">
        <f>IF(OR($A23="",N(H23)=0),"",L23/H23)</f>
        <v/>
      </c>
      <c r="N23" s="22">
        <f>IF(OR($A23="",N(C23)=0),"",(E23*G23*(1+WageCoef)+N(K23))/C23)</f>
        <v/>
      </c>
      <c r="O23" s="22">
        <f>IF(OR($A23="",N23=""),"",D23-N23)</f>
        <v/>
      </c>
    </row>
    <row r="24">
      <c r="A24" s="18" t="n"/>
      <c r="B24" s="18" t="n"/>
      <c r="C24" s="19" t="n"/>
      <c r="D24" s="20" t="n"/>
      <c r="E24" s="21">
        <f>IF($A24="","",ROUNDUP(C24/(1-RejRate),0))</f>
        <v/>
      </c>
      <c r="F24" s="21">
        <f>IF($A24="","",E24-C24)</f>
        <v/>
      </c>
      <c r="G24" s="22">
        <f>IF($A24="","",IF(B24="Gold",GoldPrice,INDEX(TierPrices,MATCH(E24,TierQty,1),MATCH(B24,TierSpecs,0))))</f>
        <v/>
      </c>
      <c r="H24" s="22">
        <f>IF($A24="","",C24*D24)</f>
        <v/>
      </c>
      <c r="I24" s="22">
        <f>IF($A24="","",E24*G24)</f>
        <v/>
      </c>
      <c r="J24" s="22">
        <f>IF($A24="","",I24*WageCoef)</f>
        <v/>
      </c>
      <c r="K24" s="20" t="n"/>
      <c r="L24" s="22">
        <f>IF($A24="","",H24-I24-J24-N(K24))</f>
        <v/>
      </c>
      <c r="M24" s="23">
        <f>IF(OR($A24="",N(H24)=0),"",L24/H24)</f>
        <v/>
      </c>
      <c r="N24" s="22">
        <f>IF(OR($A24="",N(C24)=0),"",(E24*G24*(1+WageCoef)+N(K24))/C24)</f>
        <v/>
      </c>
      <c r="O24" s="22">
        <f>IF(OR($A24="",N24=""),"",D24-N24)</f>
        <v/>
      </c>
    </row>
    <row r="25">
      <c r="A25" s="18" t="n"/>
      <c r="B25" s="18" t="n"/>
      <c r="C25" s="19" t="n"/>
      <c r="D25" s="20" t="n"/>
      <c r="E25" s="21">
        <f>IF($A25="","",ROUNDUP(C25/(1-RejRate),0))</f>
        <v/>
      </c>
      <c r="F25" s="21">
        <f>IF($A25="","",E25-C25)</f>
        <v/>
      </c>
      <c r="G25" s="22">
        <f>IF($A25="","",IF(B25="Gold",GoldPrice,INDEX(TierPrices,MATCH(E25,TierQty,1),MATCH(B25,TierSpecs,0))))</f>
        <v/>
      </c>
      <c r="H25" s="22">
        <f>IF($A25="","",C25*D25)</f>
        <v/>
      </c>
      <c r="I25" s="22">
        <f>IF($A25="","",E25*G25)</f>
        <v/>
      </c>
      <c r="J25" s="22">
        <f>IF($A25="","",I25*WageCoef)</f>
        <v/>
      </c>
      <c r="K25" s="20" t="n"/>
      <c r="L25" s="22">
        <f>IF($A25="","",H25-I25-J25-N(K25))</f>
        <v/>
      </c>
      <c r="M25" s="23">
        <f>IF(OR($A25="",N(H25)=0),"",L25/H25)</f>
        <v/>
      </c>
      <c r="N25" s="22">
        <f>IF(OR($A25="",N(C25)=0),"",(E25*G25*(1+WageCoef)+N(K25))/C25)</f>
        <v/>
      </c>
      <c r="O25" s="22">
        <f>IF(OR($A25="",N25=""),"",D25-N25)</f>
        <v/>
      </c>
    </row>
    <row r="26">
      <c r="A26" s="18" t="n"/>
      <c r="B26" s="18" t="n"/>
      <c r="C26" s="19" t="n"/>
      <c r="D26" s="20" t="n"/>
      <c r="E26" s="21">
        <f>IF($A26="","",ROUNDUP(C26/(1-RejRate),0))</f>
        <v/>
      </c>
      <c r="F26" s="21">
        <f>IF($A26="","",E26-C26)</f>
        <v/>
      </c>
      <c r="G26" s="22">
        <f>IF($A26="","",IF(B26="Gold",GoldPrice,INDEX(TierPrices,MATCH(E26,TierQty,1),MATCH(B26,TierSpecs,0))))</f>
        <v/>
      </c>
      <c r="H26" s="22">
        <f>IF($A26="","",C26*D26)</f>
        <v/>
      </c>
      <c r="I26" s="22">
        <f>IF($A26="","",E26*G26)</f>
        <v/>
      </c>
      <c r="J26" s="22">
        <f>IF($A26="","",I26*WageCoef)</f>
        <v/>
      </c>
      <c r="K26" s="20" t="n"/>
      <c r="L26" s="22">
        <f>IF($A26="","",H26-I26-J26-N(K26))</f>
        <v/>
      </c>
      <c r="M26" s="23">
        <f>IF(OR($A26="",N(H26)=0),"",L26/H26)</f>
        <v/>
      </c>
      <c r="N26" s="22">
        <f>IF(OR($A26="",N(C26)=0),"",(E26*G26*(1+WageCoef)+N(K26))/C26)</f>
        <v/>
      </c>
      <c r="O26" s="22">
        <f>IF(OR($A26="",N26=""),"",D26-N26)</f>
        <v/>
      </c>
    </row>
    <row r="27">
      <c r="A27" s="18" t="n"/>
      <c r="B27" s="18" t="n"/>
      <c r="C27" s="19" t="n"/>
      <c r="D27" s="20" t="n"/>
      <c r="E27" s="21">
        <f>IF($A27="","",ROUNDUP(C27/(1-RejRate),0))</f>
        <v/>
      </c>
      <c r="F27" s="21">
        <f>IF($A27="","",E27-C27)</f>
        <v/>
      </c>
      <c r="G27" s="22">
        <f>IF($A27="","",IF(B27="Gold",GoldPrice,INDEX(TierPrices,MATCH(E27,TierQty,1),MATCH(B27,TierSpecs,0))))</f>
        <v/>
      </c>
      <c r="H27" s="22">
        <f>IF($A27="","",C27*D27)</f>
        <v/>
      </c>
      <c r="I27" s="22">
        <f>IF($A27="","",E27*G27)</f>
        <v/>
      </c>
      <c r="J27" s="22">
        <f>IF($A27="","",I27*WageCoef)</f>
        <v/>
      </c>
      <c r="K27" s="20" t="n"/>
      <c r="L27" s="22">
        <f>IF($A27="","",H27-I27-J27-N(K27))</f>
        <v/>
      </c>
      <c r="M27" s="23">
        <f>IF(OR($A27="",N(H27)=0),"",L27/H27)</f>
        <v/>
      </c>
      <c r="N27" s="22">
        <f>IF(OR($A27="",N(C27)=0),"",(E27*G27*(1+WageCoef)+N(K27))/C27)</f>
        <v/>
      </c>
      <c r="O27" s="22">
        <f>IF(OR($A27="",N27=""),"",D27-N27)</f>
        <v/>
      </c>
    </row>
    <row r="28">
      <c r="A28" s="18" t="n"/>
      <c r="B28" s="18" t="n"/>
      <c r="C28" s="19" t="n"/>
      <c r="D28" s="20" t="n"/>
      <c r="E28" s="21">
        <f>IF($A28="","",ROUNDUP(C28/(1-RejRate),0))</f>
        <v/>
      </c>
      <c r="F28" s="21">
        <f>IF($A28="","",E28-C28)</f>
        <v/>
      </c>
      <c r="G28" s="22">
        <f>IF($A28="","",IF(B28="Gold",GoldPrice,INDEX(TierPrices,MATCH(E28,TierQty,1),MATCH(B28,TierSpecs,0))))</f>
        <v/>
      </c>
      <c r="H28" s="22">
        <f>IF($A28="","",C28*D28)</f>
        <v/>
      </c>
      <c r="I28" s="22">
        <f>IF($A28="","",E28*G28)</f>
        <v/>
      </c>
      <c r="J28" s="22">
        <f>IF($A28="","",I28*WageCoef)</f>
        <v/>
      </c>
      <c r="K28" s="20" t="n"/>
      <c r="L28" s="22">
        <f>IF($A28="","",H28-I28-J28-N(K28))</f>
        <v/>
      </c>
      <c r="M28" s="23">
        <f>IF(OR($A28="",N(H28)=0),"",L28/H28)</f>
        <v/>
      </c>
      <c r="N28" s="22">
        <f>IF(OR($A28="",N(C28)=0),"",(E28*G28*(1+WageCoef)+N(K28))/C28)</f>
        <v/>
      </c>
      <c r="O28" s="22">
        <f>IF(OR($A28="",N28=""),"",D28-N28)</f>
        <v/>
      </c>
    </row>
    <row r="29">
      <c r="A29" s="18" t="n"/>
      <c r="B29" s="18" t="n"/>
      <c r="C29" s="19" t="n"/>
      <c r="D29" s="20" t="n"/>
      <c r="E29" s="21">
        <f>IF($A29="","",ROUNDUP(C29/(1-RejRate),0))</f>
        <v/>
      </c>
      <c r="F29" s="21">
        <f>IF($A29="","",E29-C29)</f>
        <v/>
      </c>
      <c r="G29" s="22">
        <f>IF($A29="","",IF(B29="Gold",GoldPrice,INDEX(TierPrices,MATCH(E29,TierQty,1),MATCH(B29,TierSpecs,0))))</f>
        <v/>
      </c>
      <c r="H29" s="22">
        <f>IF($A29="","",C29*D29)</f>
        <v/>
      </c>
      <c r="I29" s="22">
        <f>IF($A29="","",E29*G29)</f>
        <v/>
      </c>
      <c r="J29" s="22">
        <f>IF($A29="","",I29*WageCoef)</f>
        <v/>
      </c>
      <c r="K29" s="20" t="n"/>
      <c r="L29" s="22">
        <f>IF($A29="","",H29-I29-J29-N(K29))</f>
        <v/>
      </c>
      <c r="M29" s="23">
        <f>IF(OR($A29="",N(H29)=0),"",L29/H29)</f>
        <v/>
      </c>
      <c r="N29" s="22">
        <f>IF(OR($A29="",N(C29)=0),"",(E29*G29*(1+WageCoef)+N(K29))/C29)</f>
        <v/>
      </c>
      <c r="O29" s="22">
        <f>IF(OR($A29="",N29=""),"",D29-N29)</f>
        <v/>
      </c>
    </row>
    <row r="30">
      <c r="A30" s="18" t="n"/>
      <c r="B30" s="18" t="n"/>
      <c r="C30" s="19" t="n"/>
      <c r="D30" s="20" t="n"/>
      <c r="E30" s="21">
        <f>IF($A30="","",ROUNDUP(C30/(1-RejRate),0))</f>
        <v/>
      </c>
      <c r="F30" s="21">
        <f>IF($A30="","",E30-C30)</f>
        <v/>
      </c>
      <c r="G30" s="22">
        <f>IF($A30="","",IF(B30="Gold",GoldPrice,INDEX(TierPrices,MATCH(E30,TierQty,1),MATCH(B30,TierSpecs,0))))</f>
        <v/>
      </c>
      <c r="H30" s="22">
        <f>IF($A30="","",C30*D30)</f>
        <v/>
      </c>
      <c r="I30" s="22">
        <f>IF($A30="","",E30*G30)</f>
        <v/>
      </c>
      <c r="J30" s="22">
        <f>IF($A30="","",I30*WageCoef)</f>
        <v/>
      </c>
      <c r="K30" s="20" t="n"/>
      <c r="L30" s="22">
        <f>IF($A30="","",H30-I30-J30-N(K30))</f>
        <v/>
      </c>
      <c r="M30" s="23">
        <f>IF(OR($A30="",N(H30)=0),"",L30/H30)</f>
        <v/>
      </c>
      <c r="N30" s="22">
        <f>IF(OR($A30="",N(C30)=0),"",(E30*G30*(1+WageCoef)+N(K30))/C30)</f>
        <v/>
      </c>
      <c r="O30" s="22">
        <f>IF(OR($A30="",N30=""),"",D30-N30)</f>
        <v/>
      </c>
    </row>
    <row r="31">
      <c r="A31" s="18" t="n"/>
      <c r="B31" s="18" t="n"/>
      <c r="C31" s="19" t="n"/>
      <c r="D31" s="20" t="n"/>
      <c r="E31" s="21">
        <f>IF($A31="","",ROUNDUP(C31/(1-RejRate),0))</f>
        <v/>
      </c>
      <c r="F31" s="21">
        <f>IF($A31="","",E31-C31)</f>
        <v/>
      </c>
      <c r="G31" s="22">
        <f>IF($A31="","",IF(B31="Gold",GoldPrice,INDEX(TierPrices,MATCH(E31,TierQty,1),MATCH(B31,TierSpecs,0))))</f>
        <v/>
      </c>
      <c r="H31" s="22">
        <f>IF($A31="","",C31*D31)</f>
        <v/>
      </c>
      <c r="I31" s="22">
        <f>IF($A31="","",E31*G31)</f>
        <v/>
      </c>
      <c r="J31" s="22">
        <f>IF($A31="","",I31*WageCoef)</f>
        <v/>
      </c>
      <c r="K31" s="20" t="n"/>
      <c r="L31" s="22">
        <f>IF($A31="","",H31-I31-J31-N(K31))</f>
        <v/>
      </c>
      <c r="M31" s="23">
        <f>IF(OR($A31="",N(H31)=0),"",L31/H31)</f>
        <v/>
      </c>
      <c r="N31" s="22">
        <f>IF(OR($A31="",N(C31)=0),"",(E31*G31*(1+WageCoef)+N(K31))/C31)</f>
        <v/>
      </c>
      <c r="O31" s="22">
        <f>IF(OR($A31="",N31=""),"",D31-N31)</f>
        <v/>
      </c>
    </row>
    <row r="32">
      <c r="A32" s="18" t="n"/>
      <c r="B32" s="18" t="n"/>
      <c r="C32" s="19" t="n"/>
      <c r="D32" s="20" t="n"/>
      <c r="E32" s="21">
        <f>IF($A32="","",ROUNDUP(C32/(1-RejRate),0))</f>
        <v/>
      </c>
      <c r="F32" s="21">
        <f>IF($A32="","",E32-C32)</f>
        <v/>
      </c>
      <c r="G32" s="22">
        <f>IF($A32="","",IF(B32="Gold",GoldPrice,INDEX(TierPrices,MATCH(E32,TierQty,1),MATCH(B32,TierSpecs,0))))</f>
        <v/>
      </c>
      <c r="H32" s="22">
        <f>IF($A32="","",C32*D32)</f>
        <v/>
      </c>
      <c r="I32" s="22">
        <f>IF($A32="","",E32*G32)</f>
        <v/>
      </c>
      <c r="J32" s="22">
        <f>IF($A32="","",I32*WageCoef)</f>
        <v/>
      </c>
      <c r="K32" s="20" t="n"/>
      <c r="L32" s="22">
        <f>IF($A32="","",H32-I32-J32-N(K32))</f>
        <v/>
      </c>
      <c r="M32" s="23">
        <f>IF(OR($A32="",N(H32)=0),"",L32/H32)</f>
        <v/>
      </c>
      <c r="N32" s="22">
        <f>IF(OR($A32="",N(C32)=0),"",(E32*G32*(1+WageCoef)+N(K32))/C32)</f>
        <v/>
      </c>
      <c r="O32" s="22">
        <f>IF(OR($A32="",N32=""),"",D32-N32)</f>
        <v/>
      </c>
    </row>
    <row r="33">
      <c r="A33" s="18" t="n"/>
      <c r="B33" s="18" t="n"/>
      <c r="C33" s="19" t="n"/>
      <c r="D33" s="20" t="n"/>
      <c r="E33" s="21">
        <f>IF($A33="","",ROUNDUP(C33/(1-RejRate),0))</f>
        <v/>
      </c>
      <c r="F33" s="21">
        <f>IF($A33="","",E33-C33)</f>
        <v/>
      </c>
      <c r="G33" s="22">
        <f>IF($A33="","",IF(B33="Gold",GoldPrice,INDEX(TierPrices,MATCH(E33,TierQty,1),MATCH(B33,TierSpecs,0))))</f>
        <v/>
      </c>
      <c r="H33" s="22">
        <f>IF($A33="","",C33*D33)</f>
        <v/>
      </c>
      <c r="I33" s="22">
        <f>IF($A33="","",E33*G33)</f>
        <v/>
      </c>
      <c r="J33" s="22">
        <f>IF($A33="","",I33*WageCoef)</f>
        <v/>
      </c>
      <c r="K33" s="20" t="n"/>
      <c r="L33" s="22">
        <f>IF($A33="","",H33-I33-J33-N(K33))</f>
        <v/>
      </c>
      <c r="M33" s="23">
        <f>IF(OR($A33="",N(H33)=0),"",L33/H33)</f>
        <v/>
      </c>
      <c r="N33" s="22">
        <f>IF(OR($A33="",N(C33)=0),"",(E33*G33*(1+WageCoef)+N(K33))/C33)</f>
        <v/>
      </c>
      <c r="O33" s="22">
        <f>IF(OR($A33="",N33=""),"",D33-N33)</f>
        <v/>
      </c>
    </row>
    <row r="34">
      <c r="A34" s="18" t="n"/>
      <c r="B34" s="18" t="n"/>
      <c r="C34" s="19" t="n"/>
      <c r="D34" s="20" t="n"/>
      <c r="E34" s="21">
        <f>IF($A34="","",ROUNDUP(C34/(1-RejRate),0))</f>
        <v/>
      </c>
      <c r="F34" s="21">
        <f>IF($A34="","",E34-C34)</f>
        <v/>
      </c>
      <c r="G34" s="22">
        <f>IF($A34="","",IF(B34="Gold",GoldPrice,INDEX(TierPrices,MATCH(E34,TierQty,1),MATCH(B34,TierSpecs,0))))</f>
        <v/>
      </c>
      <c r="H34" s="22">
        <f>IF($A34="","",C34*D34)</f>
        <v/>
      </c>
      <c r="I34" s="22">
        <f>IF($A34="","",E34*G34)</f>
        <v/>
      </c>
      <c r="J34" s="22">
        <f>IF($A34="","",I34*WageCoef)</f>
        <v/>
      </c>
      <c r="K34" s="20" t="n"/>
      <c r="L34" s="22">
        <f>IF($A34="","",H34-I34-J34-N(K34))</f>
        <v/>
      </c>
      <c r="M34" s="23">
        <f>IF(OR($A34="",N(H34)=0),"",L34/H34)</f>
        <v/>
      </c>
      <c r="N34" s="22">
        <f>IF(OR($A34="",N(C34)=0),"",(E34*G34*(1+WageCoef)+N(K34))/C34)</f>
        <v/>
      </c>
      <c r="O34" s="22">
        <f>IF(OR($A34="",N34=""),"",D34-N34)</f>
        <v/>
      </c>
    </row>
    <row r="36">
      <c r="A36" s="25" t="inlineStr">
        <is>
          <t>Total</t>
        </is>
      </c>
      <c r="B36" s="26" t="n"/>
      <c r="C36" s="27">
        <f>SUM(C5:C34)</f>
        <v/>
      </c>
      <c r="D36" s="28" t="n"/>
      <c r="E36" s="27">
        <f>SUM(E5:E34)</f>
        <v/>
      </c>
      <c r="F36" s="27">
        <f>SUM(F5:F34)</f>
        <v/>
      </c>
      <c r="G36" s="28" t="n"/>
      <c r="H36" s="28">
        <f>SUM(H5:H34)</f>
        <v/>
      </c>
      <c r="I36" s="28">
        <f>SUM(I5:I34)</f>
        <v/>
      </c>
      <c r="J36" s="28">
        <f>SUM(J5:J34)</f>
        <v/>
      </c>
      <c r="K36" s="28">
        <f>SUM(K5:K34)</f>
        <v/>
      </c>
      <c r="L36" s="28">
        <f>SUM(L5:L34)</f>
        <v/>
      </c>
      <c r="M36" s="29">
        <f>IF(N(H36)=0,"",L36/H36)</f>
        <v/>
      </c>
      <c r="N36" s="28" t="n"/>
      <c r="O36" s="28" t="n"/>
    </row>
  </sheetData>
  <conditionalFormatting sqref="D5:D34">
    <cfRule type="expression" priority="1" dxfId="0" stopIfTrue="0">
      <formula>AND(ISNUMBER(D5),OR(D5&lt;PriceMin,D5&gt;PriceMax))</formula>
    </cfRule>
  </conditionalFormatting>
  <dataValidations count="1">
    <dataValidation sqref="B5:B34" showDropDown="0" showInputMessage="0" showErrorMessage="1" allowBlank="1" errorTitle="Spec" error="Choose Blue, Silver, Copper or Gold." type="list">
      <formula1>"Blue,Silver,Copper,Gold"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AF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Year 3 profit and loss</t>
        </is>
      </c>
    </row>
    <row r="2">
      <c r="A2" s="2" t="inlineStr">
        <is>
          <t>Contract columns read Contracts Y3 row by row; blank columns are unused contract rows. Year total sums the whole contract range. Costs shown as positive amounts that are subtracted.</t>
        </is>
      </c>
    </row>
    <row r="4">
      <c r="A4" s="8" t="inlineStr">
        <is>
          <t>Contract</t>
        </is>
      </c>
      <c r="B4" s="8" t="inlineStr">
        <is>
          <t>Year total</t>
        </is>
      </c>
      <c r="C4" s="8">
        <f>IF('Contracts Y3'!$A5="","",'Contracts Y3'!$A5)</f>
        <v/>
      </c>
      <c r="D4" s="8">
        <f>IF('Contracts Y3'!$A6="","",'Contracts Y3'!$A6)</f>
        <v/>
      </c>
      <c r="E4" s="8">
        <f>IF('Contracts Y3'!$A7="","",'Contracts Y3'!$A7)</f>
        <v/>
      </c>
      <c r="F4" s="8">
        <f>IF('Contracts Y3'!$A8="","",'Contracts Y3'!$A8)</f>
        <v/>
      </c>
      <c r="G4" s="8">
        <f>IF('Contracts Y3'!$A9="","",'Contracts Y3'!$A9)</f>
        <v/>
      </c>
      <c r="H4" s="8">
        <f>IF('Contracts Y3'!$A10="","",'Contracts Y3'!$A10)</f>
        <v/>
      </c>
      <c r="I4" s="8">
        <f>IF('Contracts Y3'!$A11="","",'Contracts Y3'!$A11)</f>
        <v/>
      </c>
      <c r="J4" s="8">
        <f>IF('Contracts Y3'!$A12="","",'Contracts Y3'!$A12)</f>
        <v/>
      </c>
      <c r="K4" s="8">
        <f>IF('Contracts Y3'!$A13="","",'Contracts Y3'!$A13)</f>
        <v/>
      </c>
      <c r="L4" s="8">
        <f>IF('Contracts Y3'!$A14="","",'Contracts Y3'!$A14)</f>
        <v/>
      </c>
      <c r="M4" s="8">
        <f>IF('Contracts Y3'!$A15="","",'Contracts Y3'!$A15)</f>
        <v/>
      </c>
      <c r="N4" s="8">
        <f>IF('Contracts Y3'!$A16="","",'Contracts Y3'!$A16)</f>
        <v/>
      </c>
      <c r="O4" s="8">
        <f>IF('Contracts Y3'!$A17="","",'Contracts Y3'!$A17)</f>
        <v/>
      </c>
      <c r="P4" s="8">
        <f>IF('Contracts Y3'!$A18="","",'Contracts Y3'!$A18)</f>
        <v/>
      </c>
      <c r="Q4" s="8">
        <f>IF('Contracts Y3'!$A19="","",'Contracts Y3'!$A19)</f>
        <v/>
      </c>
      <c r="R4" s="8">
        <f>IF('Contracts Y3'!$A20="","",'Contracts Y3'!$A20)</f>
        <v/>
      </c>
      <c r="S4" s="8">
        <f>IF('Contracts Y3'!$A21="","",'Contracts Y3'!$A21)</f>
        <v/>
      </c>
      <c r="T4" s="8">
        <f>IF('Contracts Y3'!$A22="","",'Contracts Y3'!$A22)</f>
        <v/>
      </c>
      <c r="U4" s="8">
        <f>IF('Contracts Y3'!$A23="","",'Contracts Y3'!$A23)</f>
        <v/>
      </c>
      <c r="V4" s="8">
        <f>IF('Contracts Y3'!$A24="","",'Contracts Y3'!$A24)</f>
        <v/>
      </c>
      <c r="W4" s="8">
        <f>IF('Contracts Y3'!$A25="","",'Contracts Y3'!$A25)</f>
        <v/>
      </c>
      <c r="X4" s="8">
        <f>IF('Contracts Y3'!$A26="","",'Contracts Y3'!$A26)</f>
        <v/>
      </c>
      <c r="Y4" s="8">
        <f>IF('Contracts Y3'!$A27="","",'Contracts Y3'!$A27)</f>
        <v/>
      </c>
      <c r="Z4" s="8">
        <f>IF('Contracts Y3'!$A28="","",'Contracts Y3'!$A28)</f>
        <v/>
      </c>
      <c r="AA4" s="8">
        <f>IF('Contracts Y3'!$A29="","",'Contracts Y3'!$A29)</f>
        <v/>
      </c>
      <c r="AB4" s="8">
        <f>IF('Contracts Y3'!$A30="","",'Contracts Y3'!$A30)</f>
        <v/>
      </c>
      <c r="AC4" s="8">
        <f>IF('Contracts Y3'!$A31="","",'Contracts Y3'!$A31)</f>
        <v/>
      </c>
      <c r="AD4" s="8">
        <f>IF('Contracts Y3'!$A32="","",'Contracts Y3'!$A32)</f>
        <v/>
      </c>
      <c r="AE4" s="8">
        <f>IF('Contracts Y3'!$A33="","",'Contracts Y3'!$A33)</f>
        <v/>
      </c>
      <c r="AF4" s="8">
        <f>IF('Contracts Y3'!$A34="","",'Contracts Y3'!$A34)</f>
        <v/>
      </c>
    </row>
    <row r="5">
      <c r="A5" s="8" t="inlineStr">
        <is>
          <t>Spec</t>
        </is>
      </c>
      <c r="B5" s="30" t="inlineStr"/>
      <c r="C5" s="8">
        <f>IF('Contracts Y3'!$A5="","",'Contracts Y3'!$B5)</f>
        <v/>
      </c>
      <c r="D5" s="8">
        <f>IF('Contracts Y3'!$A6="","",'Contracts Y3'!$B6)</f>
        <v/>
      </c>
      <c r="E5" s="8">
        <f>IF('Contracts Y3'!$A7="","",'Contracts Y3'!$B7)</f>
        <v/>
      </c>
      <c r="F5" s="8">
        <f>IF('Contracts Y3'!$A8="","",'Contracts Y3'!$B8)</f>
        <v/>
      </c>
      <c r="G5" s="8">
        <f>IF('Contracts Y3'!$A9="","",'Contracts Y3'!$B9)</f>
        <v/>
      </c>
      <c r="H5" s="8">
        <f>IF('Contracts Y3'!$A10="","",'Contracts Y3'!$B10)</f>
        <v/>
      </c>
      <c r="I5" s="8">
        <f>IF('Contracts Y3'!$A11="","",'Contracts Y3'!$B11)</f>
        <v/>
      </c>
      <c r="J5" s="8">
        <f>IF('Contracts Y3'!$A12="","",'Contracts Y3'!$B12)</f>
        <v/>
      </c>
      <c r="K5" s="8">
        <f>IF('Contracts Y3'!$A13="","",'Contracts Y3'!$B13)</f>
        <v/>
      </c>
      <c r="L5" s="8">
        <f>IF('Contracts Y3'!$A14="","",'Contracts Y3'!$B14)</f>
        <v/>
      </c>
      <c r="M5" s="8">
        <f>IF('Contracts Y3'!$A15="","",'Contracts Y3'!$B15)</f>
        <v/>
      </c>
      <c r="N5" s="8">
        <f>IF('Contracts Y3'!$A16="","",'Contracts Y3'!$B16)</f>
        <v/>
      </c>
      <c r="O5" s="8">
        <f>IF('Contracts Y3'!$A17="","",'Contracts Y3'!$B17)</f>
        <v/>
      </c>
      <c r="P5" s="8">
        <f>IF('Contracts Y3'!$A18="","",'Contracts Y3'!$B18)</f>
        <v/>
      </c>
      <c r="Q5" s="8">
        <f>IF('Contracts Y3'!$A19="","",'Contracts Y3'!$B19)</f>
        <v/>
      </c>
      <c r="R5" s="8">
        <f>IF('Contracts Y3'!$A20="","",'Contracts Y3'!$B20)</f>
        <v/>
      </c>
      <c r="S5" s="8">
        <f>IF('Contracts Y3'!$A21="","",'Contracts Y3'!$B21)</f>
        <v/>
      </c>
      <c r="T5" s="8">
        <f>IF('Contracts Y3'!$A22="","",'Contracts Y3'!$B22)</f>
        <v/>
      </c>
      <c r="U5" s="8">
        <f>IF('Contracts Y3'!$A23="","",'Contracts Y3'!$B23)</f>
        <v/>
      </c>
      <c r="V5" s="8">
        <f>IF('Contracts Y3'!$A24="","",'Contracts Y3'!$B24)</f>
        <v/>
      </c>
      <c r="W5" s="8">
        <f>IF('Contracts Y3'!$A25="","",'Contracts Y3'!$B25)</f>
        <v/>
      </c>
      <c r="X5" s="8">
        <f>IF('Contracts Y3'!$A26="","",'Contracts Y3'!$B26)</f>
        <v/>
      </c>
      <c r="Y5" s="8">
        <f>IF('Contracts Y3'!$A27="","",'Contracts Y3'!$B27)</f>
        <v/>
      </c>
      <c r="Z5" s="8">
        <f>IF('Contracts Y3'!$A28="","",'Contracts Y3'!$B28)</f>
        <v/>
      </c>
      <c r="AA5" s="8">
        <f>IF('Contracts Y3'!$A29="","",'Contracts Y3'!$B29)</f>
        <v/>
      </c>
      <c r="AB5" s="8">
        <f>IF('Contracts Y3'!$A30="","",'Contracts Y3'!$B30)</f>
        <v/>
      </c>
      <c r="AC5" s="8">
        <f>IF('Contracts Y3'!$A31="","",'Contracts Y3'!$B31)</f>
        <v/>
      </c>
      <c r="AD5" s="8">
        <f>IF('Contracts Y3'!$A32="","",'Contracts Y3'!$B32)</f>
        <v/>
      </c>
      <c r="AE5" s="8">
        <f>IF('Contracts Y3'!$A33="","",'Contracts Y3'!$B33)</f>
        <v/>
      </c>
      <c r="AF5" s="8">
        <f>IF('Contracts Y3'!$A34="","",'Contracts Y3'!$B34)</f>
        <v/>
      </c>
    </row>
    <row r="6">
      <c r="A6" s="4" t="inlineStr">
        <is>
          <t>Contract revenue</t>
        </is>
      </c>
      <c r="B6" s="12">
        <f>SUM('Contracts Y3'!H$5:H$34)</f>
        <v/>
      </c>
      <c r="C6" s="12">
        <f>IF(C$4="","",'Contracts Y3'!H5)</f>
        <v/>
      </c>
      <c r="D6" s="12">
        <f>IF(D$4="","",'Contracts Y3'!H6)</f>
        <v/>
      </c>
      <c r="E6" s="12">
        <f>IF(E$4="","",'Contracts Y3'!H7)</f>
        <v/>
      </c>
      <c r="F6" s="12">
        <f>IF(F$4="","",'Contracts Y3'!H8)</f>
        <v/>
      </c>
      <c r="G6" s="12">
        <f>IF(G$4="","",'Contracts Y3'!H9)</f>
        <v/>
      </c>
      <c r="H6" s="12">
        <f>IF(H$4="","",'Contracts Y3'!H10)</f>
        <v/>
      </c>
      <c r="I6" s="12">
        <f>IF(I$4="","",'Contracts Y3'!H11)</f>
        <v/>
      </c>
      <c r="J6" s="12">
        <f>IF(J$4="","",'Contracts Y3'!H12)</f>
        <v/>
      </c>
      <c r="K6" s="12">
        <f>IF(K$4="","",'Contracts Y3'!H13)</f>
        <v/>
      </c>
      <c r="L6" s="12">
        <f>IF(L$4="","",'Contracts Y3'!H14)</f>
        <v/>
      </c>
      <c r="M6" s="12">
        <f>IF(M$4="","",'Contracts Y3'!H15)</f>
        <v/>
      </c>
      <c r="N6" s="12">
        <f>IF(N$4="","",'Contracts Y3'!H16)</f>
        <v/>
      </c>
      <c r="O6" s="12">
        <f>IF(O$4="","",'Contracts Y3'!H17)</f>
        <v/>
      </c>
      <c r="P6" s="12">
        <f>IF(P$4="","",'Contracts Y3'!H18)</f>
        <v/>
      </c>
      <c r="Q6" s="12">
        <f>IF(Q$4="","",'Contracts Y3'!H19)</f>
        <v/>
      </c>
      <c r="R6" s="12">
        <f>IF(R$4="","",'Contracts Y3'!H20)</f>
        <v/>
      </c>
      <c r="S6" s="12">
        <f>IF(S$4="","",'Contracts Y3'!H21)</f>
        <v/>
      </c>
      <c r="T6" s="12">
        <f>IF(T$4="","",'Contracts Y3'!H22)</f>
        <v/>
      </c>
      <c r="U6" s="12">
        <f>IF(U$4="","",'Contracts Y3'!H23)</f>
        <v/>
      </c>
      <c r="V6" s="12">
        <f>IF(V$4="","",'Contracts Y3'!H24)</f>
        <v/>
      </c>
      <c r="W6" s="12">
        <f>IF(W$4="","",'Contracts Y3'!H25)</f>
        <v/>
      </c>
      <c r="X6" s="12">
        <f>IF(X$4="","",'Contracts Y3'!H26)</f>
        <v/>
      </c>
      <c r="Y6" s="12">
        <f>IF(Y$4="","",'Contracts Y3'!H27)</f>
        <v/>
      </c>
      <c r="Z6" s="12">
        <f>IF(Z$4="","",'Contracts Y3'!H28)</f>
        <v/>
      </c>
      <c r="AA6" s="12">
        <f>IF(AA$4="","",'Contracts Y3'!H29)</f>
        <v/>
      </c>
      <c r="AB6" s="12">
        <f>IF(AB$4="","",'Contracts Y3'!H30)</f>
        <v/>
      </c>
      <c r="AC6" s="12">
        <f>IF(AC$4="","",'Contracts Y3'!H31)</f>
        <v/>
      </c>
      <c r="AD6" s="12">
        <f>IF(AD$4="","",'Contracts Y3'!H32)</f>
        <v/>
      </c>
      <c r="AE6" s="12">
        <f>IF(AE$4="","",'Contracts Y3'!H33)</f>
        <v/>
      </c>
      <c r="AF6" s="12">
        <f>IF(AF$4="","",'Contracts Y3'!H34)</f>
        <v/>
      </c>
    </row>
    <row r="7">
      <c r="A7" s="4" t="inlineStr">
        <is>
          <t>Less raw materials used</t>
        </is>
      </c>
      <c r="B7" s="12">
        <f>SUM('Contracts Y3'!I$5:I$34)</f>
        <v/>
      </c>
      <c r="C7" s="12">
        <f>IF(C$4="","",'Contracts Y3'!I5)</f>
        <v/>
      </c>
      <c r="D7" s="12">
        <f>IF(D$4="","",'Contracts Y3'!I6)</f>
        <v/>
      </c>
      <c r="E7" s="12">
        <f>IF(E$4="","",'Contracts Y3'!I7)</f>
        <v/>
      </c>
      <c r="F7" s="12">
        <f>IF(F$4="","",'Contracts Y3'!I8)</f>
        <v/>
      </c>
      <c r="G7" s="12">
        <f>IF(G$4="","",'Contracts Y3'!I9)</f>
        <v/>
      </c>
      <c r="H7" s="12">
        <f>IF(H$4="","",'Contracts Y3'!I10)</f>
        <v/>
      </c>
      <c r="I7" s="12">
        <f>IF(I$4="","",'Contracts Y3'!I11)</f>
        <v/>
      </c>
      <c r="J7" s="12">
        <f>IF(J$4="","",'Contracts Y3'!I12)</f>
        <v/>
      </c>
      <c r="K7" s="12">
        <f>IF(K$4="","",'Contracts Y3'!I13)</f>
        <v/>
      </c>
      <c r="L7" s="12">
        <f>IF(L$4="","",'Contracts Y3'!I14)</f>
        <v/>
      </c>
      <c r="M7" s="12">
        <f>IF(M$4="","",'Contracts Y3'!I15)</f>
        <v/>
      </c>
      <c r="N7" s="12">
        <f>IF(N$4="","",'Contracts Y3'!I16)</f>
        <v/>
      </c>
      <c r="O7" s="12">
        <f>IF(O$4="","",'Contracts Y3'!I17)</f>
        <v/>
      </c>
      <c r="P7" s="12">
        <f>IF(P$4="","",'Contracts Y3'!I18)</f>
        <v/>
      </c>
      <c r="Q7" s="12">
        <f>IF(Q$4="","",'Contracts Y3'!I19)</f>
        <v/>
      </c>
      <c r="R7" s="12">
        <f>IF(R$4="","",'Contracts Y3'!I20)</f>
        <v/>
      </c>
      <c r="S7" s="12">
        <f>IF(S$4="","",'Contracts Y3'!I21)</f>
        <v/>
      </c>
      <c r="T7" s="12">
        <f>IF(T$4="","",'Contracts Y3'!I22)</f>
        <v/>
      </c>
      <c r="U7" s="12">
        <f>IF(U$4="","",'Contracts Y3'!I23)</f>
        <v/>
      </c>
      <c r="V7" s="12">
        <f>IF(V$4="","",'Contracts Y3'!I24)</f>
        <v/>
      </c>
      <c r="W7" s="12">
        <f>IF(W$4="","",'Contracts Y3'!I25)</f>
        <v/>
      </c>
      <c r="X7" s="12">
        <f>IF(X$4="","",'Contracts Y3'!I26)</f>
        <v/>
      </c>
      <c r="Y7" s="12">
        <f>IF(Y$4="","",'Contracts Y3'!I27)</f>
        <v/>
      </c>
      <c r="Z7" s="12">
        <f>IF(Z$4="","",'Contracts Y3'!I28)</f>
        <v/>
      </c>
      <c r="AA7" s="12">
        <f>IF(AA$4="","",'Contracts Y3'!I29)</f>
        <v/>
      </c>
      <c r="AB7" s="12">
        <f>IF(AB$4="","",'Contracts Y3'!I30)</f>
        <v/>
      </c>
      <c r="AC7" s="12">
        <f>IF(AC$4="","",'Contracts Y3'!I31)</f>
        <v/>
      </c>
      <c r="AD7" s="12">
        <f>IF(AD$4="","",'Contracts Y3'!I32)</f>
        <v/>
      </c>
      <c r="AE7" s="12">
        <f>IF(AE$4="","",'Contracts Y3'!I33)</f>
        <v/>
      </c>
      <c r="AF7" s="12">
        <f>IF(AF$4="","",'Contracts Y3'!I34)</f>
        <v/>
      </c>
    </row>
    <row r="8">
      <c r="A8" s="4" t="inlineStr">
        <is>
          <t>Less production wages</t>
        </is>
      </c>
      <c r="B8" s="12">
        <f>SUM('Contracts Y3'!J$5:J$34)</f>
        <v/>
      </c>
      <c r="C8" s="12">
        <f>IF(C$4="","",'Contracts Y3'!J5)</f>
        <v/>
      </c>
      <c r="D8" s="12">
        <f>IF(D$4="","",'Contracts Y3'!J6)</f>
        <v/>
      </c>
      <c r="E8" s="12">
        <f>IF(E$4="","",'Contracts Y3'!J7)</f>
        <v/>
      </c>
      <c r="F8" s="12">
        <f>IF(F$4="","",'Contracts Y3'!J8)</f>
        <v/>
      </c>
      <c r="G8" s="12">
        <f>IF(G$4="","",'Contracts Y3'!J9)</f>
        <v/>
      </c>
      <c r="H8" s="12">
        <f>IF(H$4="","",'Contracts Y3'!J10)</f>
        <v/>
      </c>
      <c r="I8" s="12">
        <f>IF(I$4="","",'Contracts Y3'!J11)</f>
        <v/>
      </c>
      <c r="J8" s="12">
        <f>IF(J$4="","",'Contracts Y3'!J12)</f>
        <v/>
      </c>
      <c r="K8" s="12">
        <f>IF(K$4="","",'Contracts Y3'!J13)</f>
        <v/>
      </c>
      <c r="L8" s="12">
        <f>IF(L$4="","",'Contracts Y3'!J14)</f>
        <v/>
      </c>
      <c r="M8" s="12">
        <f>IF(M$4="","",'Contracts Y3'!J15)</f>
        <v/>
      </c>
      <c r="N8" s="12">
        <f>IF(N$4="","",'Contracts Y3'!J16)</f>
        <v/>
      </c>
      <c r="O8" s="12">
        <f>IF(O$4="","",'Contracts Y3'!J17)</f>
        <v/>
      </c>
      <c r="P8" s="12">
        <f>IF(P$4="","",'Contracts Y3'!J18)</f>
        <v/>
      </c>
      <c r="Q8" s="12">
        <f>IF(Q$4="","",'Contracts Y3'!J19)</f>
        <v/>
      </c>
      <c r="R8" s="12">
        <f>IF(R$4="","",'Contracts Y3'!J20)</f>
        <v/>
      </c>
      <c r="S8" s="12">
        <f>IF(S$4="","",'Contracts Y3'!J21)</f>
        <v/>
      </c>
      <c r="T8" s="12">
        <f>IF(T$4="","",'Contracts Y3'!J22)</f>
        <v/>
      </c>
      <c r="U8" s="12">
        <f>IF(U$4="","",'Contracts Y3'!J23)</f>
        <v/>
      </c>
      <c r="V8" s="12">
        <f>IF(V$4="","",'Contracts Y3'!J24)</f>
        <v/>
      </c>
      <c r="W8" s="12">
        <f>IF(W$4="","",'Contracts Y3'!J25)</f>
        <v/>
      </c>
      <c r="X8" s="12">
        <f>IF(X$4="","",'Contracts Y3'!J26)</f>
        <v/>
      </c>
      <c r="Y8" s="12">
        <f>IF(Y$4="","",'Contracts Y3'!J27)</f>
        <v/>
      </c>
      <c r="Z8" s="12">
        <f>IF(Z$4="","",'Contracts Y3'!J28)</f>
        <v/>
      </c>
      <c r="AA8" s="12">
        <f>IF(AA$4="","",'Contracts Y3'!J29)</f>
        <v/>
      </c>
      <c r="AB8" s="12">
        <f>IF(AB$4="","",'Contracts Y3'!J30)</f>
        <v/>
      </c>
      <c r="AC8" s="12">
        <f>IF(AC$4="","",'Contracts Y3'!J31)</f>
        <v/>
      </c>
      <c r="AD8" s="12">
        <f>IF(AD$4="","",'Contracts Y3'!J32)</f>
        <v/>
      </c>
      <c r="AE8" s="12">
        <f>IF(AE$4="","",'Contracts Y3'!J33)</f>
        <v/>
      </c>
      <c r="AF8" s="12">
        <f>IF(AF$4="","",'Contracts Y3'!J34)</f>
        <v/>
      </c>
    </row>
    <row r="9">
      <c r="A9" s="4" t="inlineStr">
        <is>
          <t>Less other direct contract expenses</t>
        </is>
      </c>
      <c r="B9" s="12">
        <f>SUM('Contracts Y3'!K$5:K$34)</f>
        <v/>
      </c>
      <c r="C9" s="12">
        <f>IF(C$4="","",N('Contracts Y3'!K5))</f>
        <v/>
      </c>
      <c r="D9" s="12">
        <f>IF(D$4="","",N('Contracts Y3'!K6))</f>
        <v/>
      </c>
      <c r="E9" s="12">
        <f>IF(E$4="","",N('Contracts Y3'!K7))</f>
        <v/>
      </c>
      <c r="F9" s="12">
        <f>IF(F$4="","",N('Contracts Y3'!K8))</f>
        <v/>
      </c>
      <c r="G9" s="12">
        <f>IF(G$4="","",N('Contracts Y3'!K9))</f>
        <v/>
      </c>
      <c r="H9" s="12">
        <f>IF(H$4="","",N('Contracts Y3'!K10))</f>
        <v/>
      </c>
      <c r="I9" s="12">
        <f>IF(I$4="","",N('Contracts Y3'!K11))</f>
        <v/>
      </c>
      <c r="J9" s="12">
        <f>IF(J$4="","",N('Contracts Y3'!K12))</f>
        <v/>
      </c>
      <c r="K9" s="12">
        <f>IF(K$4="","",N('Contracts Y3'!K13))</f>
        <v/>
      </c>
      <c r="L9" s="12">
        <f>IF(L$4="","",N('Contracts Y3'!K14))</f>
        <v/>
      </c>
      <c r="M9" s="12">
        <f>IF(M$4="","",N('Contracts Y3'!K15))</f>
        <v/>
      </c>
      <c r="N9" s="12">
        <f>IF(N$4="","",N('Contracts Y3'!K16))</f>
        <v/>
      </c>
      <c r="O9" s="12">
        <f>IF(O$4="","",N('Contracts Y3'!K17))</f>
        <v/>
      </c>
      <c r="P9" s="12">
        <f>IF(P$4="","",N('Contracts Y3'!K18))</f>
        <v/>
      </c>
      <c r="Q9" s="12">
        <f>IF(Q$4="","",N('Contracts Y3'!K19))</f>
        <v/>
      </c>
      <c r="R9" s="12">
        <f>IF(R$4="","",N('Contracts Y3'!K20))</f>
        <v/>
      </c>
      <c r="S9" s="12">
        <f>IF(S$4="","",N('Contracts Y3'!K21))</f>
        <v/>
      </c>
      <c r="T9" s="12">
        <f>IF(T$4="","",N('Contracts Y3'!K22))</f>
        <v/>
      </c>
      <c r="U9" s="12">
        <f>IF(U$4="","",N('Contracts Y3'!K23))</f>
        <v/>
      </c>
      <c r="V9" s="12">
        <f>IF(V$4="","",N('Contracts Y3'!K24))</f>
        <v/>
      </c>
      <c r="W9" s="12">
        <f>IF(W$4="","",N('Contracts Y3'!K25))</f>
        <v/>
      </c>
      <c r="X9" s="12">
        <f>IF(X$4="","",N('Contracts Y3'!K26))</f>
        <v/>
      </c>
      <c r="Y9" s="12">
        <f>IF(Y$4="","",N('Contracts Y3'!K27))</f>
        <v/>
      </c>
      <c r="Z9" s="12">
        <f>IF(Z$4="","",N('Contracts Y3'!K28))</f>
        <v/>
      </c>
      <c r="AA9" s="12">
        <f>IF(AA$4="","",N('Contracts Y3'!K29))</f>
        <v/>
      </c>
      <c r="AB9" s="12">
        <f>IF(AB$4="","",N('Contracts Y3'!K30))</f>
        <v/>
      </c>
      <c r="AC9" s="12">
        <f>IF(AC$4="","",N('Contracts Y3'!K31))</f>
        <v/>
      </c>
      <c r="AD9" s="12">
        <f>IF(AD$4="","",N('Contracts Y3'!K32))</f>
        <v/>
      </c>
      <c r="AE9" s="12">
        <f>IF(AE$4="","",N('Contracts Y3'!K33))</f>
        <v/>
      </c>
      <c r="AF9" s="12">
        <f>IF(AF$4="","",N('Contracts Y3'!K34))</f>
        <v/>
      </c>
    </row>
    <row r="10">
      <c r="A10" s="3" t="inlineStr">
        <is>
          <t>Contribution margin</t>
        </is>
      </c>
      <c r="B10" s="10">
        <f>B6-B7-B8-B9</f>
        <v/>
      </c>
      <c r="C10" s="10">
        <f>IF(C$4="","",C6-C7-C8-C9)</f>
        <v/>
      </c>
      <c r="D10" s="10">
        <f>IF(D$4="","",D6-D7-D8-D9)</f>
        <v/>
      </c>
      <c r="E10" s="10">
        <f>IF(E$4="","",E6-E7-E8-E9)</f>
        <v/>
      </c>
      <c r="F10" s="10">
        <f>IF(F$4="","",F6-F7-F8-F9)</f>
        <v/>
      </c>
      <c r="G10" s="10">
        <f>IF(G$4="","",G6-G7-G8-G9)</f>
        <v/>
      </c>
      <c r="H10" s="10">
        <f>IF(H$4="","",H6-H7-H8-H9)</f>
        <v/>
      </c>
      <c r="I10" s="10">
        <f>IF(I$4="","",I6-I7-I8-I9)</f>
        <v/>
      </c>
      <c r="J10" s="10">
        <f>IF(J$4="","",J6-J7-J8-J9)</f>
        <v/>
      </c>
      <c r="K10" s="10">
        <f>IF(K$4="","",K6-K7-K8-K9)</f>
        <v/>
      </c>
      <c r="L10" s="10">
        <f>IF(L$4="","",L6-L7-L8-L9)</f>
        <v/>
      </c>
      <c r="M10" s="10">
        <f>IF(M$4="","",M6-M7-M8-M9)</f>
        <v/>
      </c>
      <c r="N10" s="10">
        <f>IF(N$4="","",N6-N7-N8-N9)</f>
        <v/>
      </c>
      <c r="O10" s="10">
        <f>IF(O$4="","",O6-O7-O8-O9)</f>
        <v/>
      </c>
      <c r="P10" s="10">
        <f>IF(P$4="","",P6-P7-P8-P9)</f>
        <v/>
      </c>
      <c r="Q10" s="10">
        <f>IF(Q$4="","",Q6-Q7-Q8-Q9)</f>
        <v/>
      </c>
      <c r="R10" s="10">
        <f>IF(R$4="","",R6-R7-R8-R9)</f>
        <v/>
      </c>
      <c r="S10" s="10">
        <f>IF(S$4="","",S6-S7-S8-S9)</f>
        <v/>
      </c>
      <c r="T10" s="10">
        <f>IF(T$4="","",T6-T7-T8-T9)</f>
        <v/>
      </c>
      <c r="U10" s="10">
        <f>IF(U$4="","",U6-U7-U8-U9)</f>
        <v/>
      </c>
      <c r="V10" s="10">
        <f>IF(V$4="","",V6-V7-V8-V9)</f>
        <v/>
      </c>
      <c r="W10" s="10">
        <f>IF(W$4="","",W6-W7-W8-W9)</f>
        <v/>
      </c>
      <c r="X10" s="10">
        <f>IF(X$4="","",X6-X7-X8-X9)</f>
        <v/>
      </c>
      <c r="Y10" s="10">
        <f>IF(Y$4="","",Y6-Y7-Y8-Y9)</f>
        <v/>
      </c>
      <c r="Z10" s="10">
        <f>IF(Z$4="","",Z6-Z7-Z8-Z9)</f>
        <v/>
      </c>
      <c r="AA10" s="10">
        <f>IF(AA$4="","",AA6-AA7-AA8-AA9)</f>
        <v/>
      </c>
      <c r="AB10" s="10">
        <f>IF(AB$4="","",AB6-AB7-AB8-AB9)</f>
        <v/>
      </c>
      <c r="AC10" s="10">
        <f>IF(AC$4="","",AC6-AC7-AC8-AC9)</f>
        <v/>
      </c>
      <c r="AD10" s="10">
        <f>IF(AD$4="","",AD6-AD7-AD8-AD9)</f>
        <v/>
      </c>
      <c r="AE10" s="10">
        <f>IF(AE$4="","",AE6-AE7-AE8-AE9)</f>
        <v/>
      </c>
      <c r="AF10" s="10">
        <f>IF(AF$4="","",AF6-AF7-AF8-AF9)</f>
        <v/>
      </c>
    </row>
    <row r="11">
      <c r="A11" s="4" t="inlineStr">
        <is>
          <t>Less fixed operating expenses</t>
        </is>
      </c>
      <c r="B11" s="12">
        <f>FixedTotal</f>
        <v/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</row>
    <row r="12">
      <c r="A12" s="3" t="inlineStr">
        <is>
          <t>Operating profit</t>
        </is>
      </c>
      <c r="B12" s="10">
        <f>B10-B11</f>
        <v/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</row>
    <row r="13">
      <c r="A13" s="4" t="inlineStr">
        <is>
          <t>CM %</t>
        </is>
      </c>
      <c r="B13" s="15">
        <f>IF(B6=0,"",B10/B6)</f>
        <v/>
      </c>
      <c r="C13" s="15">
        <f>IF(N(C6)=0,"",C10/C6)</f>
        <v/>
      </c>
      <c r="D13" s="15">
        <f>IF(N(D6)=0,"",D10/D6)</f>
        <v/>
      </c>
      <c r="E13" s="15">
        <f>IF(N(E6)=0,"",E10/E6)</f>
        <v/>
      </c>
      <c r="F13" s="15">
        <f>IF(N(F6)=0,"",F10/F6)</f>
        <v/>
      </c>
      <c r="G13" s="15">
        <f>IF(N(G6)=0,"",G10/G6)</f>
        <v/>
      </c>
      <c r="H13" s="15">
        <f>IF(N(H6)=0,"",H10/H6)</f>
        <v/>
      </c>
      <c r="I13" s="15">
        <f>IF(N(I6)=0,"",I10/I6)</f>
        <v/>
      </c>
      <c r="J13" s="15">
        <f>IF(N(J6)=0,"",J10/J6)</f>
        <v/>
      </c>
      <c r="K13" s="15">
        <f>IF(N(K6)=0,"",K10/K6)</f>
        <v/>
      </c>
      <c r="L13" s="15">
        <f>IF(N(L6)=0,"",L10/L6)</f>
        <v/>
      </c>
      <c r="M13" s="15">
        <f>IF(N(M6)=0,"",M10/M6)</f>
        <v/>
      </c>
      <c r="N13" s="15">
        <f>IF(N(N6)=0,"",N10/N6)</f>
        <v/>
      </c>
      <c r="O13" s="15">
        <f>IF(N(O6)=0,"",O10/O6)</f>
        <v/>
      </c>
      <c r="P13" s="15">
        <f>IF(N(P6)=0,"",P10/P6)</f>
        <v/>
      </c>
      <c r="Q13" s="15">
        <f>IF(N(Q6)=0,"",Q10/Q6)</f>
        <v/>
      </c>
      <c r="R13" s="15">
        <f>IF(N(R6)=0,"",R10/R6)</f>
        <v/>
      </c>
      <c r="S13" s="15">
        <f>IF(N(S6)=0,"",S10/S6)</f>
        <v/>
      </c>
      <c r="T13" s="15">
        <f>IF(N(T6)=0,"",T10/T6)</f>
        <v/>
      </c>
      <c r="U13" s="15">
        <f>IF(N(U6)=0,"",U10/U6)</f>
        <v/>
      </c>
      <c r="V13" s="15">
        <f>IF(N(V6)=0,"",V10/V6)</f>
        <v/>
      </c>
      <c r="W13" s="15">
        <f>IF(N(W6)=0,"",W10/W6)</f>
        <v/>
      </c>
      <c r="X13" s="15">
        <f>IF(N(X6)=0,"",X10/X6)</f>
        <v/>
      </c>
      <c r="Y13" s="15">
        <f>IF(N(Y6)=0,"",Y10/Y6)</f>
        <v/>
      </c>
      <c r="Z13" s="15">
        <f>IF(N(Z6)=0,"",Z10/Z6)</f>
        <v/>
      </c>
      <c r="AA13" s="15">
        <f>IF(N(AA6)=0,"",AA10/AA6)</f>
        <v/>
      </c>
      <c r="AB13" s="15">
        <f>IF(N(AB6)=0,"",AB10/AB6)</f>
        <v/>
      </c>
      <c r="AC13" s="15">
        <f>IF(N(AC6)=0,"",AC10/AC6)</f>
        <v/>
      </c>
      <c r="AD13" s="15">
        <f>IF(N(AD6)=0,"",AD10/AD6)</f>
        <v/>
      </c>
      <c r="AE13" s="15">
        <f>IF(N(AE6)=0,"",AE10/AE6)</f>
        <v/>
      </c>
      <c r="AF13" s="15">
        <f>IF(N(AF6)=0,"",AF10/AF6)</f>
        <v/>
      </c>
    </row>
    <row r="14">
      <c r="A14" s="4" t="inlineStr">
        <is>
          <t>Operating margin %</t>
        </is>
      </c>
      <c r="B14" s="15">
        <f>IF(B6=0,"",B12/B6)</f>
        <v/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4" t="inlineStr">
        <is>
          <t>Share of market (revenue / market size)</t>
        </is>
      </c>
      <c r="B15" s="15">
        <f>IF(N(Inputs!$B$35)=0,"",B6/Inputs!$B$35)</f>
        <v/>
      </c>
      <c r="C15" s="15">
        <f>IF(OR(C$4="",N(Inputs!$B$35)=0),"",C6/Inputs!$B$35)</f>
        <v/>
      </c>
      <c r="D15" s="15">
        <f>IF(OR(D$4="",N(Inputs!$B$35)=0),"",D6/Inputs!$B$35)</f>
        <v/>
      </c>
      <c r="E15" s="15">
        <f>IF(OR(E$4="",N(Inputs!$B$35)=0),"",E6/Inputs!$B$35)</f>
        <v/>
      </c>
      <c r="F15" s="15">
        <f>IF(OR(F$4="",N(Inputs!$B$35)=0),"",F6/Inputs!$B$35)</f>
        <v/>
      </c>
      <c r="G15" s="15">
        <f>IF(OR(G$4="",N(Inputs!$B$35)=0),"",G6/Inputs!$B$35)</f>
        <v/>
      </c>
      <c r="H15" s="15">
        <f>IF(OR(H$4="",N(Inputs!$B$35)=0),"",H6/Inputs!$B$35)</f>
        <v/>
      </c>
      <c r="I15" s="15">
        <f>IF(OR(I$4="",N(Inputs!$B$35)=0),"",I6/Inputs!$B$35)</f>
        <v/>
      </c>
      <c r="J15" s="15">
        <f>IF(OR(J$4="",N(Inputs!$B$35)=0),"",J6/Inputs!$B$35)</f>
        <v/>
      </c>
      <c r="K15" s="15">
        <f>IF(OR(K$4="",N(Inputs!$B$35)=0),"",K6/Inputs!$B$35)</f>
        <v/>
      </c>
      <c r="L15" s="15">
        <f>IF(OR(L$4="",N(Inputs!$B$35)=0),"",L6/Inputs!$B$35)</f>
        <v/>
      </c>
      <c r="M15" s="15">
        <f>IF(OR(M$4="",N(Inputs!$B$35)=0),"",M6/Inputs!$B$35)</f>
        <v/>
      </c>
      <c r="N15" s="15">
        <f>IF(OR(N$4="",N(Inputs!$B$35)=0),"",N6/Inputs!$B$35)</f>
        <v/>
      </c>
      <c r="O15" s="15">
        <f>IF(OR(O$4="",N(Inputs!$B$35)=0),"",O6/Inputs!$B$35)</f>
        <v/>
      </c>
      <c r="P15" s="15">
        <f>IF(OR(P$4="",N(Inputs!$B$35)=0),"",P6/Inputs!$B$35)</f>
        <v/>
      </c>
      <c r="Q15" s="15">
        <f>IF(OR(Q$4="",N(Inputs!$B$35)=0),"",Q6/Inputs!$B$35)</f>
        <v/>
      </c>
      <c r="R15" s="15">
        <f>IF(OR(R$4="",N(Inputs!$B$35)=0),"",R6/Inputs!$B$35)</f>
        <v/>
      </c>
      <c r="S15" s="15">
        <f>IF(OR(S$4="",N(Inputs!$B$35)=0),"",S6/Inputs!$B$35)</f>
        <v/>
      </c>
      <c r="T15" s="15">
        <f>IF(OR(T$4="",N(Inputs!$B$35)=0),"",T6/Inputs!$B$35)</f>
        <v/>
      </c>
      <c r="U15" s="15">
        <f>IF(OR(U$4="",N(Inputs!$B$35)=0),"",U6/Inputs!$B$35)</f>
        <v/>
      </c>
      <c r="V15" s="15">
        <f>IF(OR(V$4="",N(Inputs!$B$35)=0),"",V6/Inputs!$B$35)</f>
        <v/>
      </c>
      <c r="W15" s="15">
        <f>IF(OR(W$4="",N(Inputs!$B$35)=0),"",W6/Inputs!$B$35)</f>
        <v/>
      </c>
      <c r="X15" s="15">
        <f>IF(OR(X$4="",N(Inputs!$B$35)=0),"",X6/Inputs!$B$35)</f>
        <v/>
      </c>
      <c r="Y15" s="15">
        <f>IF(OR(Y$4="",N(Inputs!$B$35)=0),"",Y6/Inputs!$B$35)</f>
        <v/>
      </c>
      <c r="Z15" s="15">
        <f>IF(OR(Z$4="",N(Inputs!$B$35)=0),"",Z6/Inputs!$B$35)</f>
        <v/>
      </c>
      <c r="AA15" s="15">
        <f>IF(OR(AA$4="",N(Inputs!$B$35)=0),"",AA6/Inputs!$B$35)</f>
        <v/>
      </c>
      <c r="AB15" s="15">
        <f>IF(OR(AB$4="",N(Inputs!$B$35)=0),"",AB6/Inputs!$B$35)</f>
        <v/>
      </c>
      <c r="AC15" s="15">
        <f>IF(OR(AC$4="",N(Inputs!$B$35)=0),"",AC6/Inputs!$B$35)</f>
        <v/>
      </c>
      <c r="AD15" s="15">
        <f>IF(OR(AD$4="",N(Inputs!$B$35)=0),"",AD6/Inputs!$B$35)</f>
        <v/>
      </c>
      <c r="AE15" s="15">
        <f>IF(OR(AE$4="",N(Inputs!$B$35)=0),"",AE6/Inputs!$B$35)</f>
        <v/>
      </c>
      <c r="AF15" s="15">
        <f>IF(OR(AF$4="",N(Inputs!$B$35)=0),"",AF6/Inputs!$B$35)</f>
        <v/>
      </c>
    </row>
    <row r="17">
      <c r="A17" s="2" t="inlineStr">
        <is>
          <t>Fixed expenses, operating profit and operating margin are reported for the year only, not per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2026-09-23T06:46:11Z</dcterms:created>
  <dcterms:modified xsi:type="dcterms:W3CDTF">2026-09-23T06:46:11Z</dcterms:modified>
</cp:coreProperties>
</file>