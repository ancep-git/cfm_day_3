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ntracts" sheetId="2" state="visible" r:id="rId2"/>
    <sheet name="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0.0x"/>
    <numFmt numFmtId="167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color rgb="000000FF"/>
    </font>
    <font>
      <name val="Arial"/>
      <i val="1"/>
      <sz val="9"/>
    </font>
    <font>
      <name val="Arial"/>
    </font>
    <font>
      <name val="Arial"/>
      <color rgb="0000800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3" borderId="0" pivotButton="0" quotePrefix="0" xfId="0"/>
    <xf numFmtId="164" fontId="3" fillId="0" borderId="1" pivotButton="0" quotePrefix="0" xfId="0"/>
    <xf numFmtId="0" fontId="3" fillId="2" borderId="0" applyAlignment="1" pivotButton="0" quotePrefix="0" xfId="0">
      <alignment vertical="center" wrapText="1"/>
    </xf>
    <xf numFmtId="167" fontId="4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4" fontId="7" fillId="0" borderId="0" pivotButton="0" quotePrefix="0" xfId="0"/>
    <xf numFmtId="165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7" fontId="3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165" fontId="3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0" fillId="2" borderId="0" pivotButton="0" quotePrefix="0" xfId="0"/>
    <xf numFmtId="165" fontId="6" fillId="0" borderId="0" pivotButton="0" quotePrefix="0" xfId="0"/>
    <xf numFmtId="164" fontId="3" fillId="0" borderId="0" pivotButton="0" quotePrefix="0" xfId="0"/>
    <xf numFmtId="167" fontId="7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Case</author>
  </authors>
  <commentList>
    <comment ref="D13" authorId="0" shapeId="0">
      <text>
        <t>Case brief: 15% of production is rejected</t>
      </text>
    </comment>
    <comment ref="D14" authorId="0" shapeId="0">
      <text>
        <t>Case brief: wages = raw materials x 1.8</t>
      </text>
    </comment>
    <comment ref="D15" authorId="0" shapeId="0">
      <text>
        <t>None given in the case brief</t>
      </text>
    </comment>
    <comment ref="D16" authorId="0" shapeId="0">
      <text>
        <t>Assumption: the brief says tier price applies to every BB in a purchase order and separate orders are priced separately, so one Silver order for both Silver contracts is allowed. Set 0 to price each contract separately.</t>
      </text>
    </comment>
    <comment ref="D17" authorId="0" shapeId="0">
      <text>
        <t>Case brief: market outlook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Ball Bearing Contract Auction - Inputs</t>
        </is>
      </c>
    </row>
    <row r="2">
      <c r="A2" s="2" t="inlineStr">
        <is>
          <t>Blue = hard-coded input from the case brief. Yellow = decision/assumption you can change.</t>
        </is>
      </c>
    </row>
    <row r="4">
      <c r="A4" s="3" t="inlineStr">
        <is>
          <t>Raw-material price per BB (applies to every BB in one purchase order)</t>
        </is>
      </c>
    </row>
    <row r="5">
      <c r="A5" s="4" t="inlineStr">
        <is>
          <t>Qty from</t>
        </is>
      </c>
      <c r="B5" s="4" t="inlineStr">
        <is>
          <t>Qty to</t>
        </is>
      </c>
      <c r="C5" s="4" t="inlineStr">
        <is>
          <t>Blue</t>
        </is>
      </c>
      <c r="D5" s="4" t="inlineStr">
        <is>
          <t>Silver</t>
        </is>
      </c>
      <c r="E5" s="4" t="inlineStr">
        <is>
          <t>Copper</t>
        </is>
      </c>
    </row>
    <row r="6">
      <c r="A6" s="5" t="n">
        <v>1</v>
      </c>
      <c r="B6" s="5" t="n">
        <v>10</v>
      </c>
      <c r="C6" s="6" t="n">
        <v>7000</v>
      </c>
      <c r="D6" s="6" t="n">
        <v>6500</v>
      </c>
      <c r="E6" s="6" t="n">
        <v>5500</v>
      </c>
    </row>
    <row r="7">
      <c r="A7" s="5" t="n">
        <v>11</v>
      </c>
      <c r="B7" s="5" t="n">
        <v>20</v>
      </c>
      <c r="C7" s="6" t="n">
        <v>6500</v>
      </c>
      <c r="D7" s="6" t="n">
        <v>6000</v>
      </c>
      <c r="E7" s="6" t="n">
        <v>5000</v>
      </c>
    </row>
    <row r="8">
      <c r="A8" s="5" t="n">
        <v>21</v>
      </c>
      <c r="B8" s="5" t="n">
        <v>30</v>
      </c>
      <c r="C8" s="6" t="n">
        <v>5500</v>
      </c>
      <c r="D8" s="6" t="n">
        <v>5500</v>
      </c>
      <c r="E8" s="6" t="n">
        <v>4000</v>
      </c>
    </row>
    <row r="9">
      <c r="A9" s="5" t="n">
        <v>31</v>
      </c>
      <c r="B9" s="5" t="n">
        <v>40</v>
      </c>
      <c r="C9" s="6" t="n">
        <v>5000</v>
      </c>
      <c r="D9" s="6" t="n">
        <v>4500</v>
      </c>
      <c r="E9" s="6" t="n">
        <v>3000</v>
      </c>
    </row>
    <row r="10">
      <c r="A10" s="5" t="n">
        <v>41</v>
      </c>
      <c r="B10" s="5" t="inlineStr">
        <is>
          <t>or more</t>
        </is>
      </c>
      <c r="C10" s="6" t="n">
        <v>4000</v>
      </c>
      <c r="D10" s="6" t="n">
        <v>3500</v>
      </c>
      <c r="E10" s="6" t="n">
        <v>2000</v>
      </c>
    </row>
    <row r="11">
      <c r="A11" s="7" t="inlineStr">
        <is>
          <t>Source: case brief, raw-material price table. Gold ($4,500-$5,500) is announced after the auction; no Gold contract was won.</t>
        </is>
      </c>
    </row>
    <row r="13">
      <c r="A13" s="8" t="inlineStr">
        <is>
          <t>Rejection rate</t>
        </is>
      </c>
      <c r="D13" s="9" t="n">
        <v>0.15</v>
      </c>
    </row>
    <row r="14">
      <c r="A14" s="8" t="inlineStr">
        <is>
          <t>Wage coefficient (x raw materials)</t>
        </is>
      </c>
      <c r="D14" s="10" t="n">
        <v>1.8</v>
      </c>
    </row>
    <row r="15">
      <c r="A15" s="8" t="inlineStr">
        <is>
          <t>Other direct contract expenses per contract</t>
        </is>
      </c>
      <c r="D15" s="6" t="n">
        <v>0</v>
      </c>
    </row>
    <row r="16">
      <c r="A16" s="8" t="inlineStr">
        <is>
          <t>Combine same-spec contracts into one purchase order? (1 = yes, 0 = no)</t>
        </is>
      </c>
      <c r="D16" s="11" t="n">
        <v>1</v>
      </c>
    </row>
    <row r="17">
      <c r="A17" s="8" t="inlineStr">
        <is>
          <t>Year 1 market size</t>
        </is>
      </c>
      <c r="D17" s="6" t="n">
        <v>5300000</v>
      </c>
    </row>
    <row r="19">
      <c r="A19" s="3" t="inlineStr">
        <is>
          <t>Annual fixed operating expenses</t>
        </is>
      </c>
    </row>
    <row r="20">
      <c r="A20" s="8" t="inlineStr">
        <is>
          <t>Factory rent</t>
        </is>
      </c>
      <c r="D20" s="6" t="n">
        <v>50000</v>
      </c>
    </row>
    <row r="21">
      <c r="A21" s="8" t="inlineStr">
        <is>
          <t>Management and administration</t>
        </is>
      </c>
      <c r="D21" s="6" t="n">
        <v>40000</v>
      </c>
    </row>
    <row r="22">
      <c r="A22" s="8" t="inlineStr">
        <is>
          <t>Production-machine maintenance</t>
        </is>
      </c>
      <c r="D22" s="6" t="n">
        <v>35000</v>
      </c>
    </row>
    <row r="23">
      <c r="A23" s="8" t="inlineStr">
        <is>
          <t>Utilities and insurance</t>
        </is>
      </c>
      <c r="D23" s="6" t="n">
        <v>20000</v>
      </c>
    </row>
    <row r="24">
      <c r="A24" s="8" t="inlineStr">
        <is>
          <t>Office and marketing</t>
        </is>
      </c>
      <c r="D24" s="6" t="n">
        <v>15000</v>
      </c>
    </row>
    <row r="25">
      <c r="A25" s="8" t="inlineStr">
        <is>
          <t>Depreciation</t>
        </is>
      </c>
      <c r="D25" s="6" t="n">
        <v>40000</v>
      </c>
    </row>
    <row r="26">
      <c r="A26" s="3" t="inlineStr">
        <is>
          <t>Total fixed operating expenses</t>
        </is>
      </c>
      <c r="D26" s="12">
        <f>SUM(D20:D25)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Year 1 contracts won (from the auction cards) and contract profitability</t>
        </is>
      </c>
    </row>
    <row r="2">
      <c r="A2" s="2" t="inlineStr">
        <is>
          <t>Blue = values read from the won contract cards (handwritten winning price). All other cells are formulas.</t>
        </is>
      </c>
    </row>
    <row r="4" ht="45" customHeight="1">
      <c r="A4" s="13" t="inlineStr">
        <is>
          <t>Contract</t>
        </is>
      </c>
      <c r="B4" s="13" t="inlineStr">
        <is>
          <t>Spec</t>
        </is>
      </c>
      <c r="C4" s="13" t="inlineStr">
        <is>
          <t>Qty accepted (BB)</t>
        </is>
      </c>
      <c r="D4" s="13" t="inlineStr">
        <is>
          <t>Winning price / BB</t>
        </is>
      </c>
      <c r="E4" s="13" t="inlineStr">
        <is>
          <t>Revenue</t>
        </is>
      </c>
      <c r="F4" s="13" t="inlineStr">
        <is>
          <t>BB to produce</t>
        </is>
      </c>
      <c r="G4" s="13" t="inlineStr">
        <is>
          <t>Purchase-order qty</t>
        </is>
      </c>
      <c r="H4" s="13" t="inlineStr">
        <is>
          <t>Raw-mat. price / BB</t>
        </is>
      </c>
      <c r="I4" s="13" t="inlineStr">
        <is>
          <t>Raw materials</t>
        </is>
      </c>
      <c r="J4" s="13" t="inlineStr">
        <is>
          <t>Production wages</t>
        </is>
      </c>
      <c r="K4" s="13" t="inlineStr">
        <is>
          <t>Other direct exp.</t>
        </is>
      </c>
      <c r="L4" s="13" t="inlineStr">
        <is>
          <t>Contribution margin</t>
        </is>
      </c>
      <c r="M4" s="13" t="inlineStr">
        <is>
          <t>CM %</t>
        </is>
      </c>
      <c r="N4" s="13" t="inlineStr">
        <is>
          <t>Break-even price / BB</t>
        </is>
      </c>
      <c r="O4" s="13" t="inlineStr">
        <is>
          <t>List price / BB</t>
        </is>
      </c>
      <c r="P4" s="13" t="inlineStr">
        <is>
          <t>Discount vs list</t>
        </is>
      </c>
    </row>
    <row r="5">
      <c r="A5" s="5" t="inlineStr">
        <is>
          <t>05</t>
        </is>
      </c>
      <c r="B5" s="5" t="inlineStr">
        <is>
          <t>Silver</t>
        </is>
      </c>
      <c r="C5" s="14" t="n">
        <v>15</v>
      </c>
      <c r="D5" s="6" t="n">
        <v>18000</v>
      </c>
      <c r="E5" s="15">
        <f>C5*D5</f>
        <v/>
      </c>
      <c r="F5" s="16">
        <f>ROUNDUP(ROUND(C5/(1-Inputs!$D$13),6),0)</f>
        <v/>
      </c>
      <c r="G5" s="16">
        <f>IF(Inputs!$D$16=1,SUMIF($B$5:$B$7,B5,$F$5:$F$7),F5)</f>
        <v/>
      </c>
      <c r="H5" s="17">
        <f>INDEX(Inputs!$C$6:$E$10,MATCH(G5,Inputs!$A$6:$A$10,1),MATCH(B5,Inputs!$C$5:$E$5,0))</f>
        <v/>
      </c>
      <c r="I5" s="15">
        <f>F5*H5</f>
        <v/>
      </c>
      <c r="J5" s="15">
        <f>I5*Inputs!$D$14</f>
        <v/>
      </c>
      <c r="K5" s="17">
        <f>Inputs!$D$15</f>
        <v/>
      </c>
      <c r="L5" s="15">
        <f>E5-I5-J5-K5</f>
        <v/>
      </c>
      <c r="M5" s="18">
        <f>IF(E5=0,0,L5/E5)</f>
        <v/>
      </c>
      <c r="N5" s="15">
        <f>(I5+J5+K5)/C5</f>
        <v/>
      </c>
      <c r="O5" s="6" t="n">
        <v>20000</v>
      </c>
      <c r="P5" s="18">
        <f>IF(O5=0,0,1-D5/O5)</f>
        <v/>
      </c>
    </row>
    <row r="6">
      <c r="A6" s="5" t="inlineStr">
        <is>
          <t>08</t>
        </is>
      </c>
      <c r="B6" s="5" t="inlineStr">
        <is>
          <t>Silver</t>
        </is>
      </c>
      <c r="C6" s="14" t="n">
        <v>40</v>
      </c>
      <c r="D6" s="6" t="n">
        <v>11000</v>
      </c>
      <c r="E6" s="15">
        <f>C6*D6</f>
        <v/>
      </c>
      <c r="F6" s="16">
        <f>ROUNDUP(ROUND(C6/(1-Inputs!$D$13),6),0)</f>
        <v/>
      </c>
      <c r="G6" s="16">
        <f>IF(Inputs!$D$16=1,SUMIF($B$5:$B$7,B6,$F$5:$F$7),F6)</f>
        <v/>
      </c>
      <c r="H6" s="17">
        <f>INDEX(Inputs!$C$6:$E$10,MATCH(G6,Inputs!$A$6:$A$10,1),MATCH(B6,Inputs!$C$5:$E$5,0))</f>
        <v/>
      </c>
      <c r="I6" s="15">
        <f>F6*H6</f>
        <v/>
      </c>
      <c r="J6" s="15">
        <f>I6*Inputs!$D$14</f>
        <v/>
      </c>
      <c r="K6" s="17">
        <f>Inputs!$D$15</f>
        <v/>
      </c>
      <c r="L6" s="15">
        <f>E6-I6-J6-K6</f>
        <v/>
      </c>
      <c r="M6" s="18">
        <f>IF(E6=0,0,L6/E6)</f>
        <v/>
      </c>
      <c r="N6" s="15">
        <f>(I6+J6+K6)/C6</f>
        <v/>
      </c>
      <c r="O6" s="6" t="n">
        <v>20000</v>
      </c>
      <c r="P6" s="18">
        <f>IF(O6=0,0,1-D6/O6)</f>
        <v/>
      </c>
    </row>
    <row r="7">
      <c r="A7" s="5" t="inlineStr">
        <is>
          <t>09</t>
        </is>
      </c>
      <c r="B7" s="5" t="inlineStr">
        <is>
          <t>Copper</t>
        </is>
      </c>
      <c r="C7" s="14" t="n">
        <v>40</v>
      </c>
      <c r="D7" s="6" t="n">
        <v>6500</v>
      </c>
      <c r="E7" s="15">
        <f>C7*D7</f>
        <v/>
      </c>
      <c r="F7" s="16">
        <f>ROUNDUP(ROUND(C7/(1-Inputs!$D$13),6),0)</f>
        <v/>
      </c>
      <c r="G7" s="16">
        <f>IF(Inputs!$D$16=1,SUMIF($B$5:$B$7,B7,$F$5:$F$7),F7)</f>
        <v/>
      </c>
      <c r="H7" s="17">
        <f>INDEX(Inputs!$C$6:$E$10,MATCH(G7,Inputs!$A$6:$A$10,1),MATCH(B7,Inputs!$C$5:$E$5,0))</f>
        <v/>
      </c>
      <c r="I7" s="15">
        <f>F7*H7</f>
        <v/>
      </c>
      <c r="J7" s="15">
        <f>I7*Inputs!$D$14</f>
        <v/>
      </c>
      <c r="K7" s="17">
        <f>Inputs!$D$15</f>
        <v/>
      </c>
      <c r="L7" s="15">
        <f>E7-I7-J7-K7</f>
        <v/>
      </c>
      <c r="M7" s="18">
        <f>IF(E7=0,0,L7/E7)</f>
        <v/>
      </c>
      <c r="N7" s="15">
        <f>(I7+J7+K7)/C7</f>
        <v/>
      </c>
      <c r="O7" s="6" t="n">
        <v>18000</v>
      </c>
      <c r="P7" s="18">
        <f>IF(O7=0,0,1-D7/O7)</f>
        <v/>
      </c>
    </row>
    <row r="8">
      <c r="A8" s="19" t="inlineStr">
        <is>
          <t>Total</t>
        </is>
      </c>
      <c r="B8" s="20" t="n"/>
      <c r="C8" s="21">
        <f>SUM(C5:C7)</f>
        <v/>
      </c>
      <c r="D8" s="12">
        <f>IF(C8=0,0,E8/C8)</f>
        <v/>
      </c>
      <c r="E8" s="12">
        <f>SUM(E5:E7)</f>
        <v/>
      </c>
      <c r="F8" s="21">
        <f>SUM(F5:F7)</f>
        <v/>
      </c>
      <c r="G8" s="22" t="n"/>
      <c r="H8" s="23" t="n"/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24">
        <f>IF(E8=0,0,L8/E8)</f>
        <v/>
      </c>
      <c r="N8" s="12">
        <f>(I8+J8+K8)/C8</f>
        <v/>
      </c>
      <c r="O8" s="23" t="n"/>
      <c r="P8" s="25" t="n"/>
    </row>
    <row r="10">
      <c r="A10" s="3" t="inlineStr">
        <is>
          <t>Notes</t>
        </is>
      </c>
    </row>
    <row r="11">
      <c r="A11" s="26" t="inlineStr">
        <is>
          <t>BB to produce = accepted qty / (1 - 15%), rounded up to the next whole BB (rejects still cost materials and wages).</t>
        </is>
      </c>
    </row>
    <row r="12">
      <c r="A12" s="26" t="inlineStr">
        <is>
          <t>Purchase-order qty decides the raw-material price tier. With Inputs!D16 = 1 both Silver contracts share one order (18 + 48 = 66 BB).</t>
        </is>
      </c>
    </row>
    <row r="13">
      <c r="A13" s="26" t="inlineStr">
        <is>
          <t>Break-even price = the lowest winning price per accepted BB that covers raw materials + wages (before fixed costs).</t>
        </is>
      </c>
    </row>
    <row r="14">
      <c r="A14" s="26" t="inlineStr">
        <is>
          <t>Contract 09 card: the quantity line is struck through along with the price; quantity is taken as the printed 40 BB.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Annual profit and loss statement</t>
        </is>
      </c>
    </row>
    <row r="3">
      <c r="A3" s="27" t="n"/>
      <c r="B3" s="4" t="inlineStr">
        <is>
          <t>Year 1</t>
        </is>
      </c>
    </row>
    <row r="4">
      <c r="A4" s="8" t="inlineStr">
        <is>
          <t>Contract revenue</t>
        </is>
      </c>
      <c r="B4" s="17">
        <f>Contracts!E8</f>
        <v/>
      </c>
    </row>
    <row r="5">
      <c r="A5" s="8" t="inlineStr">
        <is>
          <t>Less raw materials used</t>
        </is>
      </c>
      <c r="B5" s="17">
        <f>-Contracts!I8</f>
        <v/>
      </c>
    </row>
    <row r="6">
      <c r="A6" s="8" t="inlineStr">
        <is>
          <t>Less production wages</t>
        </is>
      </c>
      <c r="B6" s="17">
        <f>-Contracts!J8</f>
        <v/>
      </c>
    </row>
    <row r="7">
      <c r="A7" s="8" t="inlineStr">
        <is>
          <t>Less other direct contract expenses</t>
        </is>
      </c>
      <c r="B7" s="17">
        <f>-Contracts!K8</f>
        <v/>
      </c>
    </row>
    <row r="8">
      <c r="A8" s="3" t="inlineStr">
        <is>
          <t>Contribution margin</t>
        </is>
      </c>
      <c r="B8" s="12">
        <f>SUM(B4:B7)</f>
        <v/>
      </c>
    </row>
    <row r="9">
      <c r="A9" s="8" t="inlineStr">
        <is>
          <t>Less fixed operating expenses</t>
        </is>
      </c>
      <c r="B9" s="17">
        <f>-Inputs!D26</f>
        <v/>
      </c>
    </row>
    <row r="10">
      <c r="A10" s="3" t="inlineStr">
        <is>
          <t>Operating profit</t>
        </is>
      </c>
      <c r="B10" s="12">
        <f>B8+B9</f>
        <v/>
      </c>
    </row>
    <row r="12">
      <c r="A12" s="8" t="inlineStr">
        <is>
          <t>Contribution-margin %</t>
        </is>
      </c>
      <c r="B12" s="28">
        <f>IF(B4=0,0,B8/B4)</f>
        <v/>
      </c>
    </row>
    <row r="13">
      <c r="A13" s="8" t="inlineStr">
        <is>
          <t>Operating-margin %</t>
        </is>
      </c>
      <c r="B13" s="28">
        <f>IF(B4=0,0,B10/B4)</f>
        <v/>
      </c>
    </row>
    <row r="14">
      <c r="A14" s="3" t="inlineStr">
        <is>
          <t>Cumulative operating profit</t>
        </is>
      </c>
      <c r="B14" s="29">
        <f>B10</f>
        <v/>
      </c>
    </row>
    <row r="16">
      <c r="A16" s="8" t="inlineStr">
        <is>
          <t>BB accepted by customers</t>
        </is>
      </c>
      <c r="B16" s="30">
        <f>Contracts!C8</f>
        <v/>
      </c>
    </row>
    <row r="17">
      <c r="A17" s="8" t="inlineStr">
        <is>
          <t>BB produced (incl. rejects)</t>
        </is>
      </c>
      <c r="B17" s="30">
        <f>Contracts!F8</f>
        <v/>
      </c>
    </row>
    <row r="18">
      <c r="A18" s="8" t="inlineStr">
        <is>
          <t>Share of Year 1 market (revenue)</t>
        </is>
      </c>
      <c r="B18" s="28">
        <f>IF(Inputs!D17=0,0,B4/Inputs!D17)</f>
        <v/>
      </c>
    </row>
    <row r="19">
      <c r="A19" s="8" t="inlineStr">
        <is>
          <t>Operating profit per accepted BB</t>
        </is>
      </c>
      <c r="B19" s="31">
        <f>IF(B16=0,0,B10/B16)</f>
        <v/>
      </c>
    </row>
    <row r="21">
      <c r="A21" s="7" t="inlineStr">
        <is>
          <t>Green = linked from another sheet. Change Inputs!D16 to 0 to see the P&amp;L if every contract is ordered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2026-09-23T07:02:55Z</dcterms:created>
  <dcterms:modified xsi:type="dcterms:W3CDTF">2026-09-23T07:02:55Z</dcterms:modified>
</cp:coreProperties>
</file>